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3"/>
    <sheet name="Scoring Rules" sheetId="2" state="visible" r:id="rId4"/>
    <sheet name="Test Scenarios" sheetId="3" state="visible" r:id="rId5"/>
    <sheet name="Dashboard" sheetId="4" state="visible" r:id="rId6"/>
    <sheet name="Assets" sheetId="5" state="visible" r:id="rId7"/>
  </sheets>
  <definedNames>
    <definedName function="false" hidden="true" localSheetId="0" name="_xlnm._FilterDatabase" vbProcedure="false">Leads!$A$1:$AG$1</definedName>
    <definedName function="false" hidden="false" name="MY_FUNCTION1" vbProcedure="false">lambda(IF(Leads!$A$5="","",rank.eq(Leads!$Y$5,Leads!$Y$2:$Y$4,0)))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Match key for n8n (one row per customer). Do not rename headers.</t>
        </r>
      </text>
    </comment>
    <comment ref="E1" authorId="0">
      <text>
        <r>
          <rPr>
            <sz val="10"/>
            <rFont val="Arial"/>
            <family val="2"/>
          </rPr>
          <t xml:space="preserve">Stored as text +9665XXXXXXXX (n8n writes RAW).</t>
        </r>
      </text>
    </comment>
    <comment ref="AE1" authorId="0">
      <text>
        <r>
          <rPr>
            <sz val="10"/>
            <rFont val="Arial"/>
            <family val="2"/>
          </rPr>
          <t xml:space="preserve">= normalized mobile; same value = same person across channels.</t>
        </r>
      </text>
    </comment>
    <comment ref="AF1" authorId="0">
      <text>
        <r>
          <rPr>
            <sz val="10"/>
            <rFont val="Arial"/>
            <family val="2"/>
          </rPr>
          <t xml:space="preserve">Written by n8n every 15 min: 1 = call first. "-" = not in queue (Disqualified).</t>
        </r>
      </text>
    </comment>
  </commentList>
</comments>
</file>

<file path=xl/sharedStrings.xml><?xml version="1.0" encoding="utf-8"?>
<sst xmlns="http://schemas.openxmlformats.org/spreadsheetml/2006/main" count="253" uniqueCount="191">
  <si>
    <t xml:space="preserve">Lead ID</t>
  </si>
  <si>
    <t xml:space="preserve">Source</t>
  </si>
  <si>
    <t xml:space="preserve">Campaign</t>
  </si>
  <si>
    <t xml:space="preserve">Name</t>
  </si>
  <si>
    <t xml:space="preserve">Mobile</t>
  </si>
  <si>
    <t xml:space="preserve">Email</t>
  </si>
  <si>
    <t xml:space="preserve">City</t>
  </si>
  <si>
    <t xml:space="preserve">Interested Asset</t>
  </si>
  <si>
    <t xml:space="preserve">Property Type</t>
  </si>
  <si>
    <t xml:space="preserve">Budget Range</t>
  </si>
  <si>
    <t xml:space="preserve">Investment Purpose</t>
  </si>
  <si>
    <t xml:space="preserve">Buyer Type</t>
  </si>
  <si>
    <t xml:space="preserve">Auction Experience</t>
  </si>
  <si>
    <t xml:space="preserve">Purchase Readiness</t>
  </si>
  <si>
    <t xml:space="preserve">Budget Fit</t>
  </si>
  <si>
    <t xml:space="preserve">Asset Fit</t>
  </si>
  <si>
    <t xml:space="preserve">Financial Readiness</t>
  </si>
  <si>
    <t xml:space="preserve">Timeline</t>
  </si>
  <si>
    <t xml:space="preserve">Intent Strength</t>
  </si>
  <si>
    <t xml:space="preserve">Preferred Contact Method</t>
  </si>
  <si>
    <t xml:space="preserve">Consent / Contact Status</t>
  </si>
  <si>
    <t xml:space="preserve">Created Date</t>
  </si>
  <si>
    <t xml:space="preserve">Last Interaction</t>
  </si>
  <si>
    <t xml:space="preserve">Qualification Status</t>
  </si>
  <si>
    <t xml:space="preserve">Score</t>
  </si>
  <si>
    <t xml:space="preserve">Priority</t>
  </si>
  <si>
    <t xml:space="preserve">Score Reason</t>
  </si>
  <si>
    <t xml:space="preserve">AI Summary</t>
  </si>
  <si>
    <t xml:space="preserve">HubSpot Contact ID</t>
  </si>
  <si>
    <t xml:space="preserve">HubSpot Deal ID</t>
  </si>
  <si>
    <t xml:space="preserve">Duplicate Key</t>
  </si>
  <si>
    <t xml:space="preserve">Sales Queue Rank</t>
  </si>
  <si>
    <t xml:space="preserve">Appointment</t>
  </si>
  <si>
    <t xml:space="preserve">Dimension</t>
  </si>
  <si>
    <t xml:space="preserve">Value</t>
  </si>
  <si>
    <t xml:space="preserve">Points</t>
  </si>
  <si>
    <t xml:space="preserve">Business Meaning</t>
  </si>
  <si>
    <t xml:space="preserve">Notes</t>
  </si>
  <si>
    <t xml:space="preserve">Rule</t>
  </si>
  <si>
    <t xml:space="preserve">Meaning</t>
  </si>
  <si>
    <t xml:space="preserve">Strong</t>
  </si>
  <si>
    <t xml:space="preserve">Budget ≥ opening price of the asset (or of any asset of that type)</t>
  </si>
  <si>
    <t xml:space="preserve">Disqualified</t>
  </si>
  <si>
    <t xml:space="preserve">Asked not to be contacted, OR no intent, OR budget &lt; 90% of the cheapest opening price (273,600)</t>
  </si>
  <si>
    <t xml:space="preserve">Not a buyer for this auction — reason always written</t>
  </si>
  <si>
    <t xml:space="preserve">Partial</t>
  </si>
  <si>
    <t xml:space="preserve">Budget ≥ 90% of the opening price</t>
  </si>
  <si>
    <t xml:space="preserve">P1</t>
  </si>
  <si>
    <t xml:space="preserve">Score ≥ 80 AND cash/pre-approved AND asset+budget fit AND timeline ≤ 1 month AND nothing uncertain</t>
  </si>
  <si>
    <t xml:space="preserve">Hot lead: call now</t>
  </si>
  <si>
    <t xml:space="preserve">Unknown</t>
  </si>
  <si>
    <t xml:space="preserve">Not given or unclear</t>
  </si>
  <si>
    <t xml:space="preserve">Never disqualifies</t>
  </si>
  <si>
    <t xml:space="preserve">P2 · Needs clarification</t>
  </si>
  <si>
    <t xml:space="preserve">A key answer stayed unclear after 2 tries</t>
  </si>
  <si>
    <t xml:space="preserve">Human reviews — never Disqualified</t>
  </si>
  <si>
    <t xml:space="preserve">Poor</t>
  </si>
  <si>
    <t xml:space="preserve">Below 90% of the opening price</t>
  </si>
  <si>
    <t xml:space="preserve">P2 · Follow-up</t>
  </si>
  <si>
    <t xml:space="preserve">Score ≥ 60 (e.g. strong lead but financing unresolved)</t>
  </si>
  <si>
    <t xml:space="preserve">Qualified, needs follow-up</t>
  </si>
  <si>
    <t xml:space="preserve">A specific catalog asset (TS-01…TS-11)</t>
  </si>
  <si>
    <t xml:space="preserve">P3 · Nurture</t>
  </si>
  <si>
    <t xml:space="preserve">Everything else (browsing, missing info, later)</t>
  </si>
  <si>
    <t xml:space="preserve">Keep warm</t>
  </si>
  <si>
    <t xml:space="preserve">Only a property type the auction has</t>
  </si>
  <si>
    <t xml:space="preserve">Human requested</t>
  </si>
  <si>
    <t xml:space="preserve">Customer asks for a person</t>
  </si>
  <si>
    <t xml:space="preserve">Never below P2; questions stop</t>
  </si>
  <si>
    <t xml:space="preserve">Not said yet</t>
  </si>
  <si>
    <t xml:space="preserve">Queue order</t>
  </si>
  <si>
    <t xml:space="preserve">Priority → human request → call booked → money ready → timeline → score → most recent</t>
  </si>
  <si>
    <t xml:space="preserve">Written to Sales Queue Rank</t>
  </si>
  <si>
    <t xml:space="preserve">Asks for a type the auction does not have</t>
  </si>
  <si>
    <t xml:space="preserve">Cash ready</t>
  </si>
  <si>
    <t xml:space="preserve">Funds ready</t>
  </si>
  <si>
    <t xml:space="preserve">Needed for P1</t>
  </si>
  <si>
    <t xml:space="preserve">Pre-approved financing</t>
  </si>
  <si>
    <t xml:space="preserve">Bank approval in hand</t>
  </si>
  <si>
    <t xml:space="preserve">Financing needed</t>
  </si>
  <si>
    <t xml:space="preserve">Financing not started / in progress</t>
  </si>
  <si>
    <t xml:space="preserve">Blocks P1</t>
  </si>
  <si>
    <t xml:space="preserve">Not ready</t>
  </si>
  <si>
    <t xml:space="preserve">No funds</t>
  </si>
  <si>
    <t xml:space="preserve">Immediately</t>
  </si>
  <si>
    <t xml:space="preserve">This auction</t>
  </si>
  <si>
    <t xml:space="preserve">P1 needs Immediately or Within 1 month</t>
  </si>
  <si>
    <t xml:space="preserve">Within 1 month</t>
  </si>
  <si>
    <t xml:space="preserve">Near-term</t>
  </si>
  <si>
    <t xml:space="preserve">1–3 months</t>
  </si>
  <si>
    <t xml:space="preserve">Medium term</t>
  </si>
  <si>
    <t xml:space="preserve">3–6 months</t>
  </si>
  <si>
    <t xml:space="preserve">Longer term</t>
  </si>
  <si>
    <t xml:space="preserve">6+ months</t>
  </si>
  <si>
    <t xml:space="preserve">Nurture</t>
  </si>
  <si>
    <t xml:space="preserve">Ready to participate</t>
  </si>
  <si>
    <t xml:space="preserve">Wants to bid in this auction</t>
  </si>
  <si>
    <t xml:space="preserve">Serious</t>
  </si>
  <si>
    <t xml:space="preserve">Clear purchase interest</t>
  </si>
  <si>
    <t xml:space="preserve">Budget+payment+timeline given ⇒ at least Serious</t>
  </si>
  <si>
    <t xml:space="preserve">Browsing</t>
  </si>
  <si>
    <t xml:space="preserve">Only asks about prices</t>
  </si>
  <si>
    <t xml:space="preserve">No intent</t>
  </si>
  <si>
    <t xml:space="preserve">Says not interested</t>
  </si>
  <si>
    <t xml:space="preserve">⇒ Disqualified</t>
  </si>
  <si>
    <t xml:space="preserve">Scores are computed by the n8n tool "calculate_lead_score" (deterministic code), not by the sheet. Max = 100.</t>
  </si>
  <si>
    <t xml:space="preserve">#</t>
  </si>
  <si>
    <t xml:space="preserve">Scenario</t>
  </si>
  <si>
    <t xml:space="preserve">Synthetic Input / Setup</t>
  </si>
  <si>
    <t xml:space="preserve">Expected Behavior</t>
  </si>
  <si>
    <t xml:space="preserve">Actual Result</t>
  </si>
  <si>
    <t xml:space="preserve">Pass/Fail</t>
  </si>
  <si>
    <t xml:space="preserve">Hot buyer</t>
  </si>
  <si>
    <t xml:space="preserve">Known asset, sufficient budget, funds ready, intent to participate</t>
  </si>
  <si>
    <t xml:space="preserve">P1 · Qualified · booking offered</t>
  </si>
  <si>
    <t xml:space="preserve">Strong interest; financing unresolved</t>
  </si>
  <si>
    <r>
      <rPr>
        <sz val="11"/>
        <color theme="1"/>
        <rFont val="Calibri"/>
        <family val="0"/>
        <charset val="1"/>
      </rPr>
      <t xml:space="preserve">P2 (not P1) · reason says «</t>
    </r>
    <r>
      <rPr>
        <sz val="11"/>
        <color theme="1"/>
        <rFont val="FreeSans"/>
        <family val="2"/>
      </rPr>
      <t xml:space="preserve">التمويل غير محسوم</t>
    </r>
    <r>
      <rPr>
        <sz val="11"/>
        <color theme="1"/>
        <rFont val="Calibri"/>
        <family val="0"/>
        <charset val="1"/>
      </rPr>
      <t xml:space="preserve">»</t>
    </r>
  </si>
  <si>
    <t xml:space="preserve">Browser</t>
  </si>
  <si>
    <t xml:space="preserve">Price questions without clear purchase intent</t>
  </si>
  <si>
    <t xml:space="preserve">P3 · Browsing · no invented facts</t>
  </si>
  <si>
    <t xml:space="preserve">Missing data</t>
  </si>
  <si>
    <t xml:space="preserve">Only name and mobile supplied</t>
  </si>
  <si>
    <t xml:space="preserve">Not saved; agent asks about the asset (one question)</t>
  </si>
  <si>
    <t xml:space="preserve">Duplicate</t>
  </si>
  <si>
    <t xml:space="preserve">Same mobile through two channels</t>
  </si>
  <si>
    <t xml:space="preserve">Replay ignored (duplicate=true) · one row / one HubSpot contact</t>
  </si>
  <si>
    <t xml:space="preserve">Natural Arabic</t>
  </si>
  <si>
    <t xml:space="preserve">Conversational budget and intent in Arabic</t>
  </si>
  <si>
    <r>
      <rPr>
        <sz val="11"/>
        <color theme="1"/>
        <rFont val="Calibri"/>
        <family val="0"/>
        <charset val="1"/>
      </rPr>
      <t xml:space="preserve">Understands «</t>
    </r>
    <r>
      <rPr>
        <sz val="11"/>
        <color theme="1"/>
        <rFont val="FreeSans"/>
        <family val="2"/>
      </rPr>
      <t xml:space="preserve">عمارة سكنية </t>
    </r>
    <r>
      <rPr>
        <sz val="11"/>
        <color theme="1"/>
        <rFont val="Calibri"/>
        <family val="0"/>
        <charset val="1"/>
      </rPr>
      <t xml:space="preserve">/ </t>
    </r>
    <r>
      <rPr>
        <sz val="11"/>
        <color theme="1"/>
        <rFont val="FreeSans"/>
        <family val="2"/>
      </rPr>
      <t xml:space="preserve">مليونين وشوي</t>
    </r>
    <r>
      <rPr>
        <sz val="11"/>
        <color theme="1"/>
        <rFont val="Calibri"/>
        <family val="0"/>
        <charset val="1"/>
      </rPr>
      <t xml:space="preserve">» · P2</t>
    </r>
  </si>
  <si>
    <t xml:space="preserve">Changed information</t>
  </si>
  <si>
    <t xml:space="preserve">Budget changes later in conversation</t>
  </si>
  <si>
    <t xml:space="preserve">Budget becomes SAR 1,500,000 · P1</t>
  </si>
  <si>
    <t xml:space="preserve">Existing contact</t>
  </si>
  <si>
    <t xml:space="preserve">Lead already exists in HubSpot</t>
  </si>
  <si>
    <t xml:space="preserve">Existing Contact updated (no new one) · Deal linked</t>
  </si>
  <si>
    <t xml:space="preserve">Agent uncertainty</t>
  </si>
  <si>
    <t xml:space="preserve">Model cannot confidently interpret an answer</t>
  </si>
  <si>
    <t xml:space="preserve">Needs clarification · P2 · not Disqualified</t>
  </si>
  <si>
    <t xml:space="preserve">Human request</t>
  </si>
  <si>
    <t xml:space="preserve">Customer asks to speak to a person</t>
  </si>
  <si>
    <t xml:space="preserve">Human requested · P2+ · questions stop</t>
  </si>
  <si>
    <t xml:space="preserve">FANA Lead Qualification Dashboard</t>
  </si>
  <si>
    <t xml:space="preserve">Metric</t>
  </si>
  <si>
    <t xml:space="preserve">Count</t>
  </si>
  <si>
    <t xml:space="preserve">Total Leads</t>
  </si>
  <si>
    <t xml:space="preserve">P1 Leads</t>
  </si>
  <si>
    <t xml:space="preserve">Average Score</t>
  </si>
  <si>
    <t xml:space="preserve">P2</t>
  </si>
  <si>
    <t xml:space="preserve">P2 Leads</t>
  </si>
  <si>
    <t xml:space="preserve">Needs Clarification</t>
  </si>
  <si>
    <t xml:space="preserve">P3</t>
  </si>
  <si>
    <t xml:space="preserve">P3 Leads</t>
  </si>
  <si>
    <t xml:space="preserve">Human Requested</t>
  </si>
  <si>
    <t xml:space="preserve">Calls Booked</t>
  </si>
  <si>
    <t xml:space="preserve">Pushed to HubSpot</t>
  </si>
  <si>
    <t xml:space="preserve">HubSpot Errors</t>
  </si>
  <si>
    <t xml:space="preserve">Asset ID</t>
  </si>
  <si>
    <t xml:space="preserve">Asset</t>
  </si>
  <si>
    <t xml:space="preserve">Area m²</t>
  </si>
  <si>
    <t xml:space="preserve">Opening Price (SAR)</t>
  </si>
  <si>
    <t xml:space="preserve">Wallet Deposit (SAR)</t>
  </si>
  <si>
    <t xml:space="preserve">Type</t>
  </si>
  <si>
    <t xml:space="preserve">TS-01</t>
  </si>
  <si>
    <r>
      <rPr>
        <sz val="11"/>
        <rFont val="FreeSans"/>
        <family val="2"/>
      </rPr>
      <t xml:space="preserve">أرض تجارية </t>
    </r>
    <r>
      <rPr>
        <sz val="11"/>
        <rFont val="Calibri"/>
        <family val="0"/>
        <charset val="1"/>
      </rPr>
      <t xml:space="preserve">- </t>
    </r>
    <r>
      <rPr>
        <sz val="11"/>
        <rFont val="FreeSans"/>
        <family val="2"/>
      </rPr>
      <t xml:space="preserve">المريكبات</t>
    </r>
  </si>
  <si>
    <t xml:space="preserve">الدمام</t>
  </si>
  <si>
    <t xml:space="preserve">Land</t>
  </si>
  <si>
    <t xml:space="preserve">TS-02</t>
  </si>
  <si>
    <t xml:space="preserve">TS-03</t>
  </si>
  <si>
    <r>
      <rPr>
        <sz val="11"/>
        <rFont val="FreeSans"/>
        <family val="2"/>
      </rPr>
      <t xml:space="preserve">فيلا سكنية </t>
    </r>
    <r>
      <rPr>
        <sz val="11"/>
        <rFont val="Calibri"/>
        <family val="0"/>
        <charset val="1"/>
      </rPr>
      <t xml:space="preserve">- </t>
    </r>
    <r>
      <rPr>
        <sz val="11"/>
        <rFont val="FreeSans"/>
        <family val="2"/>
      </rPr>
      <t xml:space="preserve">الفيحاء</t>
    </r>
  </si>
  <si>
    <t xml:space="preserve">Villa</t>
  </si>
  <si>
    <t xml:space="preserve">TS-04</t>
  </si>
  <si>
    <r>
      <rPr>
        <sz val="11"/>
        <rFont val="FreeSans"/>
        <family val="2"/>
      </rPr>
      <t xml:space="preserve">فيلا سكنية </t>
    </r>
    <r>
      <rPr>
        <sz val="11"/>
        <rFont val="Calibri"/>
        <family val="0"/>
        <charset val="1"/>
      </rPr>
      <t xml:space="preserve">- </t>
    </r>
    <r>
      <rPr>
        <sz val="11"/>
        <rFont val="FreeSans"/>
        <family val="2"/>
      </rPr>
      <t xml:space="preserve">النخيل</t>
    </r>
  </si>
  <si>
    <t xml:space="preserve">TS-05</t>
  </si>
  <si>
    <r>
      <rPr>
        <sz val="11"/>
        <rFont val="FreeSans"/>
        <family val="2"/>
      </rPr>
      <t xml:space="preserve">فيلا سكنية </t>
    </r>
    <r>
      <rPr>
        <sz val="11"/>
        <rFont val="Calibri"/>
        <family val="0"/>
        <charset val="1"/>
      </rPr>
      <t xml:space="preserve">- </t>
    </r>
    <r>
      <rPr>
        <sz val="11"/>
        <rFont val="FreeSans"/>
        <family val="2"/>
      </rPr>
      <t xml:space="preserve">العقربية</t>
    </r>
  </si>
  <si>
    <t xml:space="preserve">الخبر</t>
  </si>
  <si>
    <t xml:space="preserve">TS-06</t>
  </si>
  <si>
    <r>
      <rPr>
        <sz val="11"/>
        <rFont val="FreeSans"/>
        <family val="2"/>
      </rPr>
      <t xml:space="preserve">عمارة سكنية </t>
    </r>
    <r>
      <rPr>
        <sz val="11"/>
        <rFont val="Calibri"/>
        <family val="0"/>
        <charset val="1"/>
      </rPr>
      <t xml:space="preserve">- </t>
    </r>
    <r>
      <rPr>
        <sz val="11"/>
        <rFont val="FreeSans"/>
        <family val="2"/>
      </rPr>
      <t xml:space="preserve">الجلوية</t>
    </r>
  </si>
  <si>
    <t xml:space="preserve">Residential Building</t>
  </si>
  <si>
    <t xml:space="preserve">TS-07</t>
  </si>
  <si>
    <r>
      <rPr>
        <sz val="11"/>
        <rFont val="FreeSans"/>
        <family val="2"/>
      </rPr>
      <t xml:space="preserve">عمارة سكنية </t>
    </r>
    <r>
      <rPr>
        <sz val="11"/>
        <rFont val="Calibri"/>
        <family val="0"/>
        <charset val="1"/>
      </rPr>
      <t xml:space="preserve">- </t>
    </r>
    <r>
      <rPr>
        <sz val="11"/>
        <rFont val="FreeSans"/>
        <family val="2"/>
      </rPr>
      <t xml:space="preserve">طيبة</t>
    </r>
  </si>
  <si>
    <t xml:space="preserve">TS-08</t>
  </si>
  <si>
    <r>
      <rPr>
        <sz val="11"/>
        <rFont val="FreeSans"/>
        <family val="2"/>
      </rPr>
      <t xml:space="preserve">عمارة تجارية </t>
    </r>
    <r>
      <rPr>
        <sz val="11"/>
        <rFont val="Calibri"/>
        <family val="0"/>
        <charset val="1"/>
      </rPr>
      <t xml:space="preserve">- </t>
    </r>
    <r>
      <rPr>
        <sz val="11"/>
        <rFont val="FreeSans"/>
        <family val="2"/>
      </rPr>
      <t xml:space="preserve">التحلية</t>
    </r>
  </si>
  <si>
    <t xml:space="preserve">Commercial Building</t>
  </si>
  <si>
    <t xml:space="preserve">TS-09</t>
  </si>
  <si>
    <r>
      <rPr>
        <sz val="11"/>
        <rFont val="FreeSans"/>
        <family val="2"/>
      </rPr>
      <t xml:space="preserve">عمارة تجارية </t>
    </r>
    <r>
      <rPr>
        <sz val="11"/>
        <rFont val="Calibri"/>
        <family val="0"/>
        <charset val="1"/>
      </rPr>
      <t xml:space="preserve">- </t>
    </r>
    <r>
      <rPr>
        <sz val="11"/>
        <rFont val="FreeSans"/>
        <family val="2"/>
      </rPr>
      <t xml:space="preserve">النزهة</t>
    </r>
  </si>
  <si>
    <t xml:space="preserve">TS-10</t>
  </si>
  <si>
    <r>
      <rPr>
        <sz val="11"/>
        <rFont val="FreeSans"/>
        <family val="2"/>
      </rPr>
      <t xml:space="preserve">شقة سكنية </t>
    </r>
    <r>
      <rPr>
        <sz val="11"/>
        <rFont val="Calibri"/>
        <family val="0"/>
        <charset val="1"/>
      </rPr>
      <t xml:space="preserve">- </t>
    </r>
    <r>
      <rPr>
        <sz val="11"/>
        <rFont val="FreeSans"/>
        <family val="2"/>
      </rPr>
      <t xml:space="preserve">النور</t>
    </r>
  </si>
  <si>
    <t xml:space="preserve">Apartment</t>
  </si>
  <si>
    <t xml:space="preserve">TS-11</t>
  </si>
  <si>
    <r>
      <rPr>
        <sz val="11"/>
        <rFont val="FreeSans"/>
        <family val="2"/>
      </rPr>
      <t xml:space="preserve">فيلا سكنية </t>
    </r>
    <r>
      <rPr>
        <sz val="11"/>
        <rFont val="Calibri"/>
        <family val="0"/>
        <charset val="1"/>
      </rPr>
      <t xml:space="preserve">- </t>
    </r>
    <r>
      <rPr>
        <sz val="11"/>
        <rFont val="FreeSans"/>
        <family val="2"/>
      </rPr>
      <t xml:space="preserve">طيبة</t>
    </r>
  </si>
  <si>
    <t xml:space="preserve">Source: catalog used in the agent prompt and calculate_lead_score (user-provided). Verify against the official auction brochure.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</si>
</sst>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"/>
    <numFmt numFmtId="167" formatCode="#,##0"/>
  </numFmts>
  <fonts count="1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Arial"/>
      <family val="2"/>
    </font>
    <font>
      <sz val="11"/>
      <color theme="1"/>
      <name val="Calibri"/>
      <family val="0"/>
      <charset val="1"/>
    </font>
    <font>
      <i val="true"/>
      <sz val="11"/>
      <name val="Calibri"/>
      <family val="0"/>
      <charset val="1"/>
    </font>
    <font>
      <sz val="11"/>
      <color theme="1"/>
      <name val="FreeSans"/>
      <family val="2"/>
    </font>
    <font>
      <b val="true"/>
      <sz val="16"/>
      <color rgb="FFFFFFFF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8"/>
      <color rgb="FF757575"/>
      <name val="Calibri"/>
      <family val="2"/>
    </font>
    <font>
      <sz val="10"/>
      <color rgb="FF000000"/>
      <name val="Calibri"/>
      <family val="2"/>
    </font>
    <font>
      <sz val="11"/>
      <name val="Calibri"/>
      <family val="0"/>
      <charset val="1"/>
    </font>
    <font>
      <sz val="11"/>
      <name val="FreeSans"/>
      <family val="2"/>
    </font>
  </fonts>
  <fills count="4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D9EAF7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2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DDEBF7"/>
        </patternFill>
      </fill>
    </dxf>
    <dxf>
      <fill>
        <patternFill>
          <bgColor rgb="FFF4CCCC"/>
        </patternFill>
      </fill>
    </dxf>
    <dxf>
      <font>
        <b val="1"/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56082"/>
      <rgbColor rgb="FFB7B7B7"/>
      <rgbColor rgb="FF757575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0B4"/>
      <rgbColor rgb="FFFFE6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Leads by Priority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"Count"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Dashboard!$G$4:$G$7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Disqualified</c:v>
                </c:pt>
              </c:strCache>
            </c:strRef>
          </c:cat>
          <c:val>
            <c:numRef>
              <c:f>Dashboard!$H$4:$H$7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5511755"/>
        <c:axId val="71659701"/>
      </c:barChart>
      <c:catAx>
        <c:axId val="55117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1659701"/>
        <c:crosses val="autoZero"/>
        <c:auto val="1"/>
        <c:lblAlgn val="ctr"/>
        <c:lblOffset val="100"/>
        <c:noMultiLvlLbl val="0"/>
      </c:catAx>
      <c:valAx>
        <c:axId val="7165970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5117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137160</xdr:rowOff>
    </xdr:from>
    <xdr:to>
      <xdr:col>9</xdr:col>
      <xdr:colOff>166680</xdr:colOff>
      <xdr:row>24</xdr:row>
      <xdr:rowOff>60840</xdr:rowOff>
    </xdr:to>
    <xdr:graphicFrame>
      <xdr:nvGraphicFramePr>
        <xdr:cNvPr id="0" name="Chart 1"/>
        <xdr:cNvGraphicFramePr/>
      </xdr:nvGraphicFramePr>
      <xdr:xfrm>
        <a:off x="0" y="1714680"/>
        <a:ext cx="10353240" cy="320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LeadsTable" displayName="LeadsTable" ref="A1:AF4" headerRowCount="1" totalsRowCount="0" totalsRowShown="0">
  <tableColumns count="32">
    <tableColumn id="1" name="Lead ID"/>
    <tableColumn id="2" name="Source"/>
    <tableColumn id="3" name="Campaign"/>
    <tableColumn id="4" name="Name"/>
    <tableColumn id="5" name="Mobile"/>
    <tableColumn id="6" name="Email"/>
    <tableColumn id="7" name="City"/>
    <tableColumn id="8" name="Interested Asset"/>
    <tableColumn id="9" name="Property Type"/>
    <tableColumn id="10" name="Budget Range"/>
    <tableColumn id="11" name="Investment Purpose"/>
    <tableColumn id="12" name="Buyer Type"/>
    <tableColumn id="13" name="Auction Experience"/>
    <tableColumn id="14" name="Purchase Readiness"/>
    <tableColumn id="15" name="Budget Fit"/>
    <tableColumn id="16" name="Asset Fit"/>
    <tableColumn id="17" name="Financial Readiness"/>
    <tableColumn id="18" name="Timeline"/>
    <tableColumn id="19" name="Intent Strength"/>
    <tableColumn id="20" name="Preferred Contact Method"/>
    <tableColumn id="21" name="Consent / Contact Status"/>
    <tableColumn id="22" name="Created Date"/>
    <tableColumn id="23" name="Last Interaction"/>
    <tableColumn id="24" name="Qualification Status"/>
    <tableColumn id="25" name="Score"/>
    <tableColumn id="26" name="Priority"/>
    <tableColumn id="27" name="Score Reason"/>
    <tableColumn id="28" name="AI Summary"/>
    <tableColumn id="29" name="HubSpot Contact ID"/>
    <tableColumn id="30" name="HubSpot Deal ID"/>
    <tableColumn id="31" name="Duplicate Key"/>
    <tableColumn id="32" name="Sales Queue Rank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 pitchFamily="0" charset="1"/>
        <a:ea typeface="Carlito" pitchFamily="0" charset="1"/>
        <a:cs typeface="Carlito" pitchFamily="0" charset="1"/>
      </a:majorFont>
      <a:minorFont>
        <a:latin typeface="Carlito" pitchFamily="0" charset="1"/>
        <a:ea typeface="Carlito" pitchFamily="0" charset="1"/>
        <a:cs typeface="Carlito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3" activeCellId="0" sqref="B3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7.38"/>
    <col collapsed="false" customWidth="true" hidden="false" outlineLevel="0" max="2" min="2" style="0" width="15.63"/>
    <col collapsed="false" customWidth="true" hidden="false" outlineLevel="0" max="3" min="3" style="0" width="25.25"/>
    <col collapsed="false" customWidth="true" hidden="false" outlineLevel="0" max="4" min="4" style="0" width="14.63"/>
    <col collapsed="false" customWidth="true" hidden="false" outlineLevel="0" max="5" min="5" style="0" width="13"/>
    <col collapsed="false" customWidth="true" hidden="false" outlineLevel="0" max="6" min="6" style="0" width="17.75"/>
    <col collapsed="false" customWidth="true" hidden="false" outlineLevel="0" max="7" min="7" style="0" width="8.13"/>
    <col collapsed="false" customWidth="true" hidden="false" outlineLevel="0" max="8" min="8" style="0" width="16.5"/>
    <col collapsed="false" customWidth="true" hidden="false" outlineLevel="0" max="9" min="9" style="0" width="15"/>
    <col collapsed="false" customWidth="true" hidden="false" outlineLevel="0" max="10" min="10" style="0" width="15.13"/>
    <col collapsed="false" customWidth="true" hidden="false" outlineLevel="0" max="11" min="11" style="0" width="12.88"/>
    <col collapsed="false" customWidth="true" hidden="false" outlineLevel="0" max="12" min="12" style="0" width="12.75"/>
    <col collapsed="false" customWidth="true" hidden="false" outlineLevel="0" max="14" min="14" style="0" width="19.25"/>
    <col collapsed="false" customWidth="true" hidden="false" outlineLevel="0" max="15" min="15" style="0" width="12"/>
    <col collapsed="false" customWidth="true" hidden="false" outlineLevel="0" max="16" min="16" style="0" width="10.75"/>
    <col collapsed="false" customWidth="true" hidden="false" outlineLevel="0" max="17" min="17" style="0" width="19"/>
    <col collapsed="false" customWidth="true" hidden="false" outlineLevel="0" max="18" min="18" style="0" width="12.75"/>
    <col collapsed="false" customWidth="true" hidden="false" outlineLevel="0" max="19" min="19" style="0" width="18.5"/>
    <col collapsed="false" customWidth="true" hidden="false" outlineLevel="0" max="20" min="20" style="0" width="17.63"/>
    <col collapsed="false" customWidth="true" hidden="false" outlineLevel="0" max="21" min="21" style="0" width="17.88"/>
    <col collapsed="false" customWidth="true" hidden="false" outlineLevel="0" max="22" min="22" style="0" width="14.13"/>
    <col collapsed="false" customWidth="true" hidden="false" outlineLevel="0" max="23" min="23" style="0" width="16"/>
    <col collapsed="false" customWidth="true" hidden="false" outlineLevel="0" max="24" min="24" style="0" width="14"/>
    <col collapsed="false" customWidth="true" hidden="false" outlineLevel="0" max="25" min="25" style="0" width="8.38"/>
    <col collapsed="false" customWidth="true" hidden="false" outlineLevel="0" max="26" min="26" style="0" width="10"/>
    <col collapsed="false" customWidth="true" hidden="false" outlineLevel="0" max="27" min="27" style="0" width="52.88"/>
    <col collapsed="false" customWidth="true" hidden="false" outlineLevel="0" max="28" min="28" style="0" width="55.88"/>
    <col collapsed="false" customWidth="true" hidden="false" outlineLevel="0" max="29" min="29" style="0" width="17.13"/>
    <col collapsed="false" customWidth="true" hidden="false" outlineLevel="0" max="30" min="30" style="0" width="16.75"/>
    <col collapsed="false" customWidth="true" hidden="false" outlineLevel="0" max="31" min="31" style="0" width="14.63"/>
    <col collapsed="false" customWidth="true" hidden="false" outlineLevel="0" max="32" min="32" style="0" width="13.63"/>
    <col collapsed="false" customWidth="true" hidden="false" outlineLevel="0" max="33" min="33" style="0" width="34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5" hidden="false" customHeight="false" outlineLevel="0" collapsed="false">
      <c r="A2" s="2"/>
      <c r="E2" s="2"/>
      <c r="V2" s="2"/>
      <c r="W2" s="2"/>
      <c r="AC2" s="2"/>
      <c r="AD2" s="2"/>
      <c r="AE2" s="2"/>
      <c r="AG2" s="2"/>
    </row>
    <row r="3" customFormat="false" ht="15" hidden="false" customHeight="false" outlineLevel="0" collapsed="false">
      <c r="A3" s="2"/>
      <c r="E3" s="2"/>
      <c r="V3" s="2"/>
      <c r="W3" s="2"/>
      <c r="AC3" s="2"/>
      <c r="AD3" s="2"/>
      <c r="AE3" s="2"/>
      <c r="AG3" s="2"/>
    </row>
    <row r="4" customFormat="false" ht="15" hidden="false" customHeight="false" outlineLevel="0" collapsed="false">
      <c r="A4" s="2"/>
      <c r="E4" s="2"/>
      <c r="V4" s="2"/>
      <c r="W4" s="2"/>
      <c r="AC4" s="2"/>
      <c r="AD4" s="2"/>
      <c r="AE4" s="2"/>
      <c r="AG4" s="2"/>
    </row>
    <row r="5" customFormat="false" ht="15.75" hidden="false" customHeight="true" outlineLevel="0" collapsed="false">
      <c r="A5" s="2"/>
      <c r="E5" s="2"/>
      <c r="V5" s="2"/>
      <c r="W5" s="2"/>
      <c r="AC5" s="2"/>
      <c r="AD5" s="2"/>
      <c r="AE5" s="2"/>
      <c r="AG5" s="2"/>
    </row>
    <row r="6" customFormat="false" ht="15.75" hidden="false" customHeight="true" outlineLevel="0" collapsed="false">
      <c r="A6" s="2"/>
      <c r="E6" s="2"/>
      <c r="V6" s="2"/>
      <c r="W6" s="2"/>
      <c r="AC6" s="2"/>
      <c r="AD6" s="2"/>
      <c r="AE6" s="2"/>
      <c r="AG6" s="2"/>
    </row>
    <row r="7" customFormat="false" ht="15.75" hidden="false" customHeight="true" outlineLevel="0" collapsed="false">
      <c r="A7" s="2"/>
      <c r="E7" s="2"/>
      <c r="V7" s="2"/>
      <c r="W7" s="2"/>
      <c r="AC7" s="2"/>
      <c r="AD7" s="2"/>
      <c r="AE7" s="2"/>
      <c r="AG7" s="2"/>
    </row>
    <row r="8" customFormat="false" ht="15.75" hidden="false" customHeight="true" outlineLevel="0" collapsed="false">
      <c r="A8" s="2"/>
      <c r="E8" s="2"/>
      <c r="V8" s="2"/>
      <c r="W8" s="2"/>
      <c r="AC8" s="2"/>
      <c r="AD8" s="2"/>
      <c r="AE8" s="2"/>
      <c r="AG8" s="2"/>
    </row>
    <row r="9" customFormat="false" ht="15.75" hidden="false" customHeight="true" outlineLevel="0" collapsed="false">
      <c r="A9" s="2"/>
      <c r="E9" s="2"/>
      <c r="V9" s="2"/>
      <c r="W9" s="2"/>
      <c r="AC9" s="2"/>
      <c r="AD9" s="2"/>
      <c r="AE9" s="2"/>
      <c r="AG9" s="2"/>
    </row>
    <row r="10" customFormat="false" ht="15.75" hidden="false" customHeight="true" outlineLevel="0" collapsed="false">
      <c r="A10" s="2"/>
      <c r="E10" s="2"/>
      <c r="V10" s="2"/>
      <c r="W10" s="2"/>
      <c r="AC10" s="2"/>
      <c r="AD10" s="2"/>
      <c r="AE10" s="2"/>
      <c r="AG10" s="2"/>
    </row>
    <row r="11" customFormat="false" ht="15.75" hidden="false" customHeight="true" outlineLevel="0" collapsed="false">
      <c r="A11" s="2"/>
      <c r="E11" s="2"/>
      <c r="V11" s="2"/>
      <c r="W11" s="2"/>
      <c r="AC11" s="2"/>
      <c r="AD11" s="2"/>
      <c r="AE11" s="2"/>
      <c r="AG11" s="2"/>
    </row>
    <row r="12" customFormat="false" ht="15.75" hidden="false" customHeight="true" outlineLevel="0" collapsed="false">
      <c r="A12" s="2"/>
      <c r="E12" s="2"/>
      <c r="V12" s="2"/>
      <c r="W12" s="2"/>
      <c r="AC12" s="2"/>
      <c r="AD12" s="2"/>
      <c r="AE12" s="2"/>
      <c r="AG12" s="2"/>
    </row>
    <row r="13" customFormat="false" ht="15.75" hidden="false" customHeight="true" outlineLevel="0" collapsed="false">
      <c r="A13" s="2"/>
      <c r="E13" s="2"/>
      <c r="V13" s="2"/>
      <c r="W13" s="2"/>
      <c r="AC13" s="2"/>
      <c r="AD13" s="2"/>
      <c r="AE13" s="2"/>
      <c r="AG13" s="2"/>
    </row>
    <row r="14" customFormat="false" ht="15.75" hidden="false" customHeight="true" outlineLevel="0" collapsed="false">
      <c r="A14" s="2"/>
      <c r="E14" s="2"/>
      <c r="V14" s="2"/>
      <c r="W14" s="2"/>
      <c r="AC14" s="2"/>
      <c r="AD14" s="2"/>
      <c r="AE14" s="2"/>
      <c r="AG14" s="2"/>
    </row>
    <row r="15" customFormat="false" ht="15.75" hidden="false" customHeight="true" outlineLevel="0" collapsed="false">
      <c r="A15" s="2"/>
      <c r="E15" s="2"/>
      <c r="V15" s="2"/>
      <c r="W15" s="2"/>
      <c r="AC15" s="2"/>
      <c r="AD15" s="2"/>
      <c r="AE15" s="2"/>
      <c r="AG15" s="2"/>
    </row>
    <row r="16" customFormat="false" ht="15.75" hidden="false" customHeight="true" outlineLevel="0" collapsed="false">
      <c r="A16" s="2"/>
      <c r="E16" s="2"/>
      <c r="V16" s="2"/>
      <c r="W16" s="2"/>
      <c r="AC16" s="2"/>
      <c r="AD16" s="2"/>
      <c r="AE16" s="2"/>
      <c r="AG16" s="2"/>
    </row>
    <row r="17" customFormat="false" ht="15.75" hidden="false" customHeight="true" outlineLevel="0" collapsed="false">
      <c r="A17" s="2"/>
      <c r="E17" s="2"/>
      <c r="V17" s="2"/>
      <c r="W17" s="2"/>
      <c r="AC17" s="2"/>
      <c r="AD17" s="2"/>
      <c r="AE17" s="2"/>
      <c r="AG17" s="2"/>
    </row>
    <row r="18" customFormat="false" ht="15.75" hidden="false" customHeight="true" outlineLevel="0" collapsed="false">
      <c r="A18" s="2"/>
      <c r="E18" s="2"/>
      <c r="V18" s="2"/>
      <c r="W18" s="2"/>
      <c r="AC18" s="2"/>
      <c r="AD18" s="2"/>
      <c r="AE18" s="2"/>
      <c r="AG18" s="2"/>
    </row>
    <row r="19" customFormat="false" ht="15.75" hidden="false" customHeight="true" outlineLevel="0" collapsed="false">
      <c r="A19" s="2"/>
      <c r="E19" s="2"/>
      <c r="V19" s="2"/>
      <c r="W19" s="2"/>
      <c r="AC19" s="2"/>
      <c r="AD19" s="2"/>
      <c r="AE19" s="2"/>
      <c r="AG19" s="2"/>
    </row>
    <row r="20" customFormat="false" ht="15.75" hidden="false" customHeight="true" outlineLevel="0" collapsed="false">
      <c r="A20" s="2"/>
      <c r="E20" s="2"/>
      <c r="V20" s="2"/>
      <c r="W20" s="2"/>
      <c r="AC20" s="2"/>
      <c r="AD20" s="2"/>
      <c r="AE20" s="2"/>
      <c r="AG20" s="2"/>
    </row>
    <row r="21" customFormat="false" ht="15.75" hidden="false" customHeight="true" outlineLevel="0" collapsed="false">
      <c r="A21" s="2"/>
      <c r="E21" s="2"/>
      <c r="V21" s="2"/>
      <c r="W21" s="2"/>
      <c r="AC21" s="2"/>
      <c r="AD21" s="2"/>
      <c r="AE21" s="2"/>
      <c r="AG21" s="2"/>
    </row>
    <row r="22" customFormat="false" ht="15.75" hidden="false" customHeight="true" outlineLevel="0" collapsed="false">
      <c r="A22" s="2"/>
      <c r="E22" s="2"/>
      <c r="V22" s="2"/>
      <c r="W22" s="2"/>
      <c r="AC22" s="2"/>
      <c r="AD22" s="2"/>
      <c r="AE22" s="2"/>
      <c r="AG22" s="2"/>
    </row>
    <row r="23" customFormat="false" ht="15.75" hidden="false" customHeight="true" outlineLevel="0" collapsed="false">
      <c r="A23" s="2"/>
      <c r="E23" s="2"/>
      <c r="V23" s="2"/>
      <c r="W23" s="2"/>
      <c r="AC23" s="2"/>
      <c r="AD23" s="2"/>
      <c r="AE23" s="2"/>
      <c r="AG23" s="2"/>
    </row>
    <row r="24" customFormat="false" ht="15.75" hidden="false" customHeight="true" outlineLevel="0" collapsed="false">
      <c r="A24" s="2"/>
      <c r="E24" s="2"/>
      <c r="V24" s="2"/>
      <c r="W24" s="2"/>
      <c r="AC24" s="2"/>
      <c r="AD24" s="2"/>
      <c r="AE24" s="2"/>
      <c r="AG24" s="2"/>
    </row>
    <row r="25" customFormat="false" ht="15.75" hidden="false" customHeight="true" outlineLevel="0" collapsed="false">
      <c r="A25" s="2"/>
      <c r="E25" s="2"/>
      <c r="V25" s="2"/>
      <c r="W25" s="2"/>
      <c r="AC25" s="2"/>
      <c r="AD25" s="2"/>
      <c r="AE25" s="2"/>
      <c r="AG25" s="2"/>
    </row>
    <row r="26" customFormat="false" ht="15.75" hidden="false" customHeight="true" outlineLevel="0" collapsed="false">
      <c r="A26" s="2"/>
      <c r="E26" s="2"/>
      <c r="V26" s="2"/>
      <c r="W26" s="2"/>
      <c r="AC26" s="2"/>
      <c r="AD26" s="2"/>
      <c r="AE26" s="2"/>
      <c r="AG26" s="2"/>
    </row>
    <row r="27" customFormat="false" ht="15.75" hidden="false" customHeight="true" outlineLevel="0" collapsed="false">
      <c r="A27" s="2"/>
      <c r="E27" s="2"/>
      <c r="V27" s="2"/>
      <c r="W27" s="2"/>
      <c r="AC27" s="2"/>
      <c r="AD27" s="2"/>
      <c r="AE27" s="2"/>
      <c r="AG27" s="2"/>
    </row>
    <row r="28" customFormat="false" ht="15.75" hidden="false" customHeight="true" outlineLevel="0" collapsed="false">
      <c r="A28" s="2"/>
      <c r="E28" s="2"/>
      <c r="V28" s="2"/>
      <c r="W28" s="2"/>
      <c r="AC28" s="2"/>
      <c r="AD28" s="2"/>
      <c r="AE28" s="2"/>
      <c r="AG28" s="2"/>
    </row>
    <row r="29" customFormat="false" ht="15.75" hidden="false" customHeight="true" outlineLevel="0" collapsed="false">
      <c r="A29" s="2"/>
      <c r="E29" s="2"/>
      <c r="V29" s="2"/>
      <c r="W29" s="2"/>
      <c r="AC29" s="2"/>
      <c r="AD29" s="2"/>
      <c r="AE29" s="2"/>
      <c r="AG29" s="2"/>
    </row>
    <row r="30" customFormat="false" ht="15.75" hidden="false" customHeight="true" outlineLevel="0" collapsed="false">
      <c r="A30" s="2"/>
      <c r="E30" s="2"/>
      <c r="V30" s="2"/>
      <c r="W30" s="2"/>
      <c r="AC30" s="2"/>
      <c r="AD30" s="2"/>
      <c r="AE30" s="2"/>
      <c r="AG30" s="2"/>
    </row>
    <row r="31" customFormat="false" ht="15.75" hidden="false" customHeight="true" outlineLevel="0" collapsed="false">
      <c r="A31" s="2"/>
      <c r="E31" s="2"/>
      <c r="V31" s="2"/>
      <c r="W31" s="2"/>
      <c r="AC31" s="2"/>
      <c r="AD31" s="2"/>
      <c r="AE31" s="2"/>
      <c r="AG31" s="2"/>
    </row>
    <row r="32" customFormat="false" ht="15.75" hidden="false" customHeight="true" outlineLevel="0" collapsed="false">
      <c r="A32" s="2"/>
      <c r="E32" s="2"/>
      <c r="V32" s="2"/>
      <c r="W32" s="2"/>
      <c r="AC32" s="2"/>
      <c r="AD32" s="2"/>
      <c r="AE32" s="2"/>
      <c r="AG32" s="2"/>
    </row>
    <row r="33" customFormat="false" ht="15.75" hidden="false" customHeight="true" outlineLevel="0" collapsed="false">
      <c r="A33" s="2"/>
      <c r="E33" s="2"/>
      <c r="V33" s="2"/>
      <c r="W33" s="2"/>
      <c r="AC33" s="2"/>
      <c r="AD33" s="2"/>
      <c r="AE33" s="2"/>
      <c r="AG33" s="2"/>
    </row>
    <row r="34" customFormat="false" ht="15.75" hidden="false" customHeight="true" outlineLevel="0" collapsed="false">
      <c r="A34" s="2"/>
      <c r="E34" s="2"/>
      <c r="V34" s="2"/>
      <c r="W34" s="2"/>
      <c r="AC34" s="2"/>
      <c r="AD34" s="2"/>
      <c r="AE34" s="2"/>
      <c r="AG34" s="2"/>
    </row>
    <row r="35" customFormat="false" ht="15.75" hidden="false" customHeight="true" outlineLevel="0" collapsed="false">
      <c r="A35" s="2"/>
      <c r="E35" s="2"/>
      <c r="V35" s="2"/>
      <c r="W35" s="2"/>
      <c r="AC35" s="2"/>
      <c r="AD35" s="2"/>
      <c r="AE35" s="2"/>
      <c r="AG35" s="2"/>
    </row>
    <row r="36" customFormat="false" ht="15.75" hidden="false" customHeight="true" outlineLevel="0" collapsed="false">
      <c r="A36" s="2"/>
      <c r="E36" s="2"/>
      <c r="V36" s="2"/>
      <c r="W36" s="2"/>
      <c r="AC36" s="2"/>
      <c r="AD36" s="2"/>
      <c r="AE36" s="2"/>
      <c r="AG36" s="2"/>
    </row>
    <row r="37" customFormat="false" ht="15.75" hidden="false" customHeight="true" outlineLevel="0" collapsed="false">
      <c r="A37" s="2"/>
      <c r="E37" s="2"/>
      <c r="V37" s="2"/>
      <c r="W37" s="2"/>
      <c r="AC37" s="2"/>
      <c r="AD37" s="2"/>
      <c r="AE37" s="2"/>
      <c r="AG37" s="2"/>
    </row>
    <row r="38" customFormat="false" ht="15.75" hidden="false" customHeight="true" outlineLevel="0" collapsed="false">
      <c r="A38" s="2"/>
      <c r="E38" s="2"/>
      <c r="V38" s="2"/>
      <c r="W38" s="2"/>
      <c r="AC38" s="2"/>
      <c r="AD38" s="2"/>
      <c r="AE38" s="2"/>
      <c r="AG38" s="2"/>
    </row>
    <row r="39" customFormat="false" ht="15.75" hidden="false" customHeight="true" outlineLevel="0" collapsed="false">
      <c r="A39" s="2"/>
      <c r="E39" s="2"/>
      <c r="V39" s="2"/>
      <c r="W39" s="2"/>
      <c r="AC39" s="2"/>
      <c r="AD39" s="2"/>
      <c r="AE39" s="2"/>
      <c r="AG39" s="2"/>
    </row>
    <row r="40" customFormat="false" ht="15.75" hidden="false" customHeight="true" outlineLevel="0" collapsed="false">
      <c r="A40" s="2"/>
      <c r="E40" s="2"/>
      <c r="V40" s="2"/>
      <c r="W40" s="2"/>
      <c r="AC40" s="2"/>
      <c r="AD40" s="2"/>
      <c r="AE40" s="2"/>
      <c r="AG40" s="2"/>
    </row>
    <row r="41" customFormat="false" ht="15.75" hidden="false" customHeight="true" outlineLevel="0" collapsed="false">
      <c r="A41" s="2"/>
      <c r="E41" s="2"/>
      <c r="V41" s="2"/>
      <c r="W41" s="2"/>
      <c r="AC41" s="2"/>
      <c r="AD41" s="2"/>
      <c r="AE41" s="2"/>
      <c r="AG41" s="2"/>
    </row>
    <row r="42" customFormat="false" ht="15.75" hidden="false" customHeight="true" outlineLevel="0" collapsed="false">
      <c r="A42" s="2"/>
      <c r="E42" s="2"/>
      <c r="V42" s="2"/>
      <c r="W42" s="2"/>
      <c r="AC42" s="2"/>
      <c r="AD42" s="2"/>
      <c r="AE42" s="2"/>
      <c r="AG42" s="2"/>
    </row>
    <row r="43" customFormat="false" ht="15.75" hidden="false" customHeight="true" outlineLevel="0" collapsed="false">
      <c r="A43" s="2"/>
      <c r="E43" s="2"/>
      <c r="V43" s="2"/>
      <c r="W43" s="2"/>
      <c r="AC43" s="2"/>
      <c r="AD43" s="2"/>
      <c r="AE43" s="2"/>
      <c r="AG43" s="2"/>
    </row>
    <row r="44" customFormat="false" ht="15.75" hidden="false" customHeight="true" outlineLevel="0" collapsed="false">
      <c r="A44" s="2"/>
      <c r="E44" s="2"/>
      <c r="V44" s="2"/>
      <c r="W44" s="2"/>
      <c r="AC44" s="2"/>
      <c r="AD44" s="2"/>
      <c r="AE44" s="2"/>
      <c r="AG44" s="2"/>
    </row>
    <row r="45" customFormat="false" ht="15.75" hidden="false" customHeight="true" outlineLevel="0" collapsed="false">
      <c r="A45" s="2"/>
      <c r="E45" s="2"/>
      <c r="V45" s="2"/>
      <c r="W45" s="2"/>
      <c r="AC45" s="2"/>
      <c r="AD45" s="2"/>
      <c r="AE45" s="2"/>
      <c r="AG45" s="2"/>
    </row>
    <row r="46" customFormat="false" ht="15.75" hidden="false" customHeight="true" outlineLevel="0" collapsed="false">
      <c r="A46" s="2"/>
      <c r="E46" s="2"/>
      <c r="V46" s="2"/>
      <c r="W46" s="2"/>
      <c r="AC46" s="2"/>
      <c r="AD46" s="2"/>
      <c r="AE46" s="2"/>
      <c r="AG46" s="2"/>
    </row>
    <row r="47" customFormat="false" ht="15.75" hidden="false" customHeight="true" outlineLevel="0" collapsed="false">
      <c r="A47" s="2"/>
      <c r="E47" s="2"/>
      <c r="V47" s="2"/>
      <c r="W47" s="2"/>
      <c r="AC47" s="2"/>
      <c r="AD47" s="2"/>
      <c r="AE47" s="2"/>
      <c r="AG47" s="2"/>
    </row>
    <row r="48" customFormat="false" ht="15.75" hidden="false" customHeight="true" outlineLevel="0" collapsed="false">
      <c r="A48" s="2"/>
      <c r="E48" s="2"/>
      <c r="V48" s="2"/>
      <c r="W48" s="2"/>
      <c r="AC48" s="2"/>
      <c r="AD48" s="2"/>
      <c r="AE48" s="2"/>
      <c r="AG48" s="2"/>
    </row>
    <row r="49" customFormat="false" ht="15.75" hidden="false" customHeight="true" outlineLevel="0" collapsed="false">
      <c r="A49" s="2"/>
      <c r="E49" s="2"/>
      <c r="V49" s="2"/>
      <c r="W49" s="2"/>
      <c r="AC49" s="2"/>
      <c r="AD49" s="2"/>
      <c r="AE49" s="2"/>
      <c r="AG49" s="2"/>
    </row>
    <row r="50" customFormat="false" ht="15.75" hidden="false" customHeight="true" outlineLevel="0" collapsed="false">
      <c r="A50" s="2"/>
      <c r="E50" s="2"/>
      <c r="V50" s="2"/>
      <c r="W50" s="2"/>
      <c r="AC50" s="2"/>
      <c r="AD50" s="2"/>
      <c r="AE50" s="2"/>
      <c r="AG50" s="2"/>
    </row>
    <row r="51" customFormat="false" ht="15.75" hidden="false" customHeight="true" outlineLevel="0" collapsed="false">
      <c r="A51" s="2"/>
      <c r="E51" s="2"/>
      <c r="V51" s="2"/>
      <c r="W51" s="2"/>
      <c r="AC51" s="2"/>
      <c r="AD51" s="2"/>
      <c r="AE51" s="2"/>
      <c r="AG51" s="2"/>
    </row>
    <row r="52" customFormat="false" ht="15.75" hidden="false" customHeight="true" outlineLevel="0" collapsed="false">
      <c r="A52" s="2"/>
      <c r="E52" s="2"/>
      <c r="V52" s="2"/>
      <c r="W52" s="2"/>
      <c r="AC52" s="2"/>
      <c r="AD52" s="2"/>
      <c r="AE52" s="2"/>
      <c r="AG52" s="2"/>
    </row>
    <row r="53" customFormat="false" ht="15.75" hidden="false" customHeight="true" outlineLevel="0" collapsed="false">
      <c r="A53" s="2"/>
      <c r="E53" s="2"/>
      <c r="V53" s="2"/>
      <c r="W53" s="2"/>
      <c r="AC53" s="2"/>
      <c r="AD53" s="2"/>
      <c r="AE53" s="2"/>
      <c r="AG53" s="2"/>
    </row>
    <row r="54" customFormat="false" ht="15.75" hidden="false" customHeight="true" outlineLevel="0" collapsed="false">
      <c r="A54" s="2"/>
      <c r="E54" s="2"/>
      <c r="V54" s="2"/>
      <c r="W54" s="2"/>
      <c r="AC54" s="2"/>
      <c r="AD54" s="2"/>
      <c r="AE54" s="2"/>
      <c r="AG54" s="2"/>
    </row>
    <row r="55" customFormat="false" ht="15.75" hidden="false" customHeight="true" outlineLevel="0" collapsed="false">
      <c r="A55" s="2"/>
      <c r="E55" s="2"/>
      <c r="V55" s="2"/>
      <c r="W55" s="2"/>
      <c r="AC55" s="2"/>
      <c r="AD55" s="2"/>
      <c r="AE55" s="2"/>
      <c r="AG55" s="2"/>
    </row>
    <row r="56" customFormat="false" ht="15.75" hidden="false" customHeight="true" outlineLevel="0" collapsed="false">
      <c r="A56" s="2"/>
      <c r="E56" s="2"/>
      <c r="V56" s="2"/>
      <c r="W56" s="2"/>
      <c r="AC56" s="2"/>
      <c r="AD56" s="2"/>
      <c r="AE56" s="2"/>
      <c r="AG56" s="2"/>
    </row>
    <row r="57" customFormat="false" ht="15.75" hidden="false" customHeight="true" outlineLevel="0" collapsed="false">
      <c r="A57" s="2"/>
      <c r="E57" s="2"/>
      <c r="V57" s="2"/>
      <c r="W57" s="2"/>
      <c r="AC57" s="2"/>
      <c r="AD57" s="2"/>
      <c r="AE57" s="2"/>
      <c r="AG57" s="2"/>
    </row>
    <row r="58" customFormat="false" ht="15.75" hidden="false" customHeight="true" outlineLevel="0" collapsed="false">
      <c r="A58" s="2"/>
      <c r="E58" s="2"/>
      <c r="V58" s="2"/>
      <c r="W58" s="2"/>
      <c r="AC58" s="2"/>
      <c r="AD58" s="2"/>
      <c r="AE58" s="2"/>
      <c r="AG58" s="2"/>
    </row>
    <row r="59" customFormat="false" ht="15.75" hidden="false" customHeight="true" outlineLevel="0" collapsed="false">
      <c r="A59" s="2"/>
      <c r="E59" s="2"/>
      <c r="V59" s="2"/>
      <c r="W59" s="2"/>
      <c r="AC59" s="2"/>
      <c r="AD59" s="2"/>
      <c r="AE59" s="2"/>
      <c r="AG59" s="2"/>
    </row>
    <row r="60" customFormat="false" ht="15.75" hidden="false" customHeight="true" outlineLevel="0" collapsed="false">
      <c r="A60" s="2"/>
      <c r="E60" s="2"/>
      <c r="V60" s="2"/>
      <c r="W60" s="2"/>
      <c r="AC60" s="2"/>
      <c r="AD60" s="2"/>
      <c r="AE60" s="2"/>
      <c r="AG60" s="2"/>
    </row>
    <row r="61" customFormat="false" ht="15.75" hidden="false" customHeight="true" outlineLevel="0" collapsed="false">
      <c r="A61" s="2"/>
      <c r="E61" s="2"/>
      <c r="V61" s="2"/>
      <c r="W61" s="2"/>
      <c r="AC61" s="2"/>
      <c r="AD61" s="2"/>
      <c r="AE61" s="2"/>
      <c r="AG61" s="2"/>
    </row>
    <row r="62" customFormat="false" ht="15.75" hidden="false" customHeight="true" outlineLevel="0" collapsed="false">
      <c r="A62" s="2"/>
      <c r="E62" s="2"/>
      <c r="V62" s="2"/>
      <c r="W62" s="2"/>
      <c r="AC62" s="2"/>
      <c r="AD62" s="2"/>
      <c r="AE62" s="2"/>
      <c r="AG62" s="2"/>
    </row>
    <row r="63" customFormat="false" ht="15.75" hidden="false" customHeight="true" outlineLevel="0" collapsed="false">
      <c r="A63" s="2"/>
      <c r="E63" s="2"/>
      <c r="V63" s="2"/>
      <c r="W63" s="2"/>
      <c r="AC63" s="2"/>
      <c r="AD63" s="2"/>
      <c r="AE63" s="2"/>
      <c r="AG63" s="2"/>
    </row>
    <row r="64" customFormat="false" ht="15.75" hidden="false" customHeight="true" outlineLevel="0" collapsed="false">
      <c r="A64" s="2"/>
      <c r="E64" s="2"/>
      <c r="V64" s="2"/>
      <c r="W64" s="2"/>
      <c r="AC64" s="2"/>
      <c r="AD64" s="2"/>
      <c r="AE64" s="2"/>
      <c r="AG64" s="2"/>
    </row>
    <row r="65" customFormat="false" ht="15.75" hidden="false" customHeight="true" outlineLevel="0" collapsed="false">
      <c r="A65" s="2"/>
      <c r="E65" s="2"/>
      <c r="V65" s="2"/>
      <c r="W65" s="2"/>
      <c r="AC65" s="2"/>
      <c r="AD65" s="2"/>
      <c r="AE65" s="2"/>
      <c r="AG65" s="2"/>
    </row>
    <row r="66" customFormat="false" ht="15.75" hidden="false" customHeight="true" outlineLevel="0" collapsed="false">
      <c r="A66" s="2"/>
      <c r="E66" s="2"/>
      <c r="V66" s="2"/>
      <c r="W66" s="2"/>
      <c r="AC66" s="2"/>
      <c r="AD66" s="2"/>
      <c r="AE66" s="2"/>
      <c r="AG66" s="2"/>
    </row>
    <row r="67" customFormat="false" ht="15.75" hidden="false" customHeight="true" outlineLevel="0" collapsed="false">
      <c r="A67" s="2"/>
      <c r="E67" s="2"/>
      <c r="V67" s="2"/>
      <c r="W67" s="2"/>
      <c r="AC67" s="2"/>
      <c r="AD67" s="2"/>
      <c r="AE67" s="2"/>
      <c r="AG67" s="2"/>
    </row>
    <row r="68" customFormat="false" ht="15.75" hidden="false" customHeight="true" outlineLevel="0" collapsed="false">
      <c r="A68" s="2"/>
      <c r="E68" s="2"/>
      <c r="V68" s="2"/>
      <c r="W68" s="2"/>
      <c r="AC68" s="2"/>
      <c r="AD68" s="2"/>
      <c r="AE68" s="2"/>
      <c r="AG68" s="2"/>
    </row>
    <row r="69" customFormat="false" ht="15.75" hidden="false" customHeight="true" outlineLevel="0" collapsed="false">
      <c r="A69" s="2"/>
      <c r="E69" s="2"/>
      <c r="V69" s="2"/>
      <c r="W69" s="2"/>
      <c r="AC69" s="2"/>
      <c r="AD69" s="2"/>
      <c r="AE69" s="2"/>
      <c r="AG69" s="2"/>
    </row>
    <row r="70" customFormat="false" ht="15.75" hidden="false" customHeight="true" outlineLevel="0" collapsed="false">
      <c r="A70" s="2"/>
      <c r="E70" s="2"/>
      <c r="V70" s="2"/>
      <c r="W70" s="2"/>
      <c r="AC70" s="2"/>
      <c r="AD70" s="2"/>
      <c r="AE70" s="2"/>
      <c r="AG70" s="2"/>
    </row>
    <row r="71" customFormat="false" ht="15.75" hidden="false" customHeight="true" outlineLevel="0" collapsed="false">
      <c r="A71" s="2"/>
      <c r="E71" s="2"/>
      <c r="V71" s="2"/>
      <c r="W71" s="2"/>
      <c r="AC71" s="2"/>
      <c r="AD71" s="2"/>
      <c r="AE71" s="2"/>
      <c r="AG71" s="2"/>
    </row>
    <row r="72" customFormat="false" ht="15.75" hidden="false" customHeight="true" outlineLevel="0" collapsed="false">
      <c r="A72" s="2"/>
      <c r="E72" s="2"/>
      <c r="V72" s="2"/>
      <c r="W72" s="2"/>
      <c r="AC72" s="2"/>
      <c r="AD72" s="2"/>
      <c r="AE72" s="2"/>
      <c r="AG72" s="2"/>
    </row>
    <row r="73" customFormat="false" ht="15.75" hidden="false" customHeight="true" outlineLevel="0" collapsed="false">
      <c r="A73" s="2"/>
      <c r="E73" s="2"/>
      <c r="V73" s="2"/>
      <c r="W73" s="2"/>
      <c r="AC73" s="2"/>
      <c r="AD73" s="2"/>
      <c r="AE73" s="2"/>
      <c r="AG73" s="2"/>
    </row>
    <row r="74" customFormat="false" ht="15.75" hidden="false" customHeight="true" outlineLevel="0" collapsed="false">
      <c r="A74" s="2"/>
      <c r="E74" s="2"/>
      <c r="V74" s="2"/>
      <c r="W74" s="2"/>
      <c r="AC74" s="2"/>
      <c r="AD74" s="2"/>
      <c r="AE74" s="2"/>
      <c r="AG74" s="2"/>
    </row>
    <row r="75" customFormat="false" ht="15.75" hidden="false" customHeight="true" outlineLevel="0" collapsed="false">
      <c r="A75" s="2"/>
      <c r="E75" s="2"/>
      <c r="V75" s="2"/>
      <c r="W75" s="2"/>
      <c r="AC75" s="2"/>
      <c r="AD75" s="2"/>
      <c r="AE75" s="2"/>
      <c r="AG75" s="2"/>
    </row>
    <row r="76" customFormat="false" ht="15.75" hidden="false" customHeight="true" outlineLevel="0" collapsed="false">
      <c r="A76" s="2"/>
      <c r="E76" s="2"/>
      <c r="V76" s="2"/>
      <c r="W76" s="2"/>
      <c r="AC76" s="2"/>
      <c r="AD76" s="2"/>
      <c r="AE76" s="2"/>
      <c r="AG76" s="2"/>
    </row>
    <row r="77" customFormat="false" ht="15.75" hidden="false" customHeight="true" outlineLevel="0" collapsed="false">
      <c r="A77" s="2"/>
      <c r="E77" s="2"/>
      <c r="V77" s="2"/>
      <c r="W77" s="2"/>
      <c r="AC77" s="2"/>
      <c r="AD77" s="2"/>
      <c r="AE77" s="2"/>
      <c r="AG77" s="2"/>
    </row>
    <row r="78" customFormat="false" ht="15.75" hidden="false" customHeight="true" outlineLevel="0" collapsed="false">
      <c r="A78" s="2"/>
      <c r="E78" s="2"/>
      <c r="V78" s="2"/>
      <c r="W78" s="2"/>
      <c r="AC78" s="2"/>
      <c r="AD78" s="2"/>
      <c r="AE78" s="2"/>
      <c r="AG78" s="2"/>
    </row>
    <row r="79" customFormat="false" ht="15.75" hidden="false" customHeight="true" outlineLevel="0" collapsed="false">
      <c r="A79" s="2"/>
      <c r="E79" s="2"/>
      <c r="V79" s="2"/>
      <c r="W79" s="2"/>
      <c r="AC79" s="2"/>
      <c r="AD79" s="2"/>
      <c r="AE79" s="2"/>
      <c r="AG79" s="2"/>
    </row>
    <row r="80" customFormat="false" ht="15.75" hidden="false" customHeight="true" outlineLevel="0" collapsed="false">
      <c r="A80" s="2"/>
      <c r="E80" s="2"/>
      <c r="V80" s="2"/>
      <c r="W80" s="2"/>
      <c r="AC80" s="2"/>
      <c r="AD80" s="2"/>
      <c r="AE80" s="2"/>
      <c r="AG80" s="2"/>
    </row>
    <row r="81" customFormat="false" ht="15.75" hidden="false" customHeight="true" outlineLevel="0" collapsed="false">
      <c r="A81" s="2"/>
      <c r="E81" s="2"/>
      <c r="V81" s="2"/>
      <c r="W81" s="2"/>
      <c r="AC81" s="2"/>
      <c r="AD81" s="2"/>
      <c r="AE81" s="2"/>
      <c r="AG81" s="2"/>
    </row>
    <row r="82" customFormat="false" ht="15.75" hidden="false" customHeight="true" outlineLevel="0" collapsed="false">
      <c r="A82" s="2"/>
      <c r="E82" s="2"/>
      <c r="V82" s="2"/>
      <c r="W82" s="2"/>
      <c r="AC82" s="2"/>
      <c r="AD82" s="2"/>
      <c r="AE82" s="2"/>
      <c r="AG82" s="2"/>
    </row>
    <row r="83" customFormat="false" ht="15.75" hidden="false" customHeight="true" outlineLevel="0" collapsed="false">
      <c r="A83" s="2"/>
      <c r="E83" s="2"/>
      <c r="V83" s="2"/>
      <c r="W83" s="2"/>
      <c r="AC83" s="2"/>
      <c r="AD83" s="2"/>
      <c r="AE83" s="2"/>
      <c r="AG83" s="2"/>
    </row>
    <row r="84" customFormat="false" ht="15.75" hidden="false" customHeight="true" outlineLevel="0" collapsed="false">
      <c r="A84" s="2"/>
      <c r="E84" s="2"/>
      <c r="V84" s="2"/>
      <c r="W84" s="2"/>
      <c r="AC84" s="2"/>
      <c r="AD84" s="2"/>
      <c r="AE84" s="2"/>
      <c r="AG84" s="2"/>
    </row>
    <row r="85" customFormat="false" ht="15.75" hidden="false" customHeight="true" outlineLevel="0" collapsed="false">
      <c r="A85" s="2"/>
      <c r="E85" s="2"/>
      <c r="V85" s="2"/>
      <c r="W85" s="2"/>
      <c r="AC85" s="2"/>
      <c r="AD85" s="2"/>
      <c r="AE85" s="2"/>
      <c r="AG85" s="2"/>
    </row>
    <row r="86" customFormat="false" ht="15.75" hidden="false" customHeight="true" outlineLevel="0" collapsed="false">
      <c r="A86" s="2"/>
      <c r="E86" s="2"/>
      <c r="V86" s="2"/>
      <c r="W86" s="2"/>
      <c r="AC86" s="2"/>
      <c r="AD86" s="2"/>
      <c r="AE86" s="2"/>
      <c r="AG86" s="2"/>
    </row>
    <row r="87" customFormat="false" ht="15.75" hidden="false" customHeight="true" outlineLevel="0" collapsed="false">
      <c r="A87" s="2"/>
      <c r="E87" s="2"/>
      <c r="V87" s="2"/>
      <c r="W87" s="2"/>
      <c r="AC87" s="2"/>
      <c r="AD87" s="2"/>
      <c r="AE87" s="2"/>
      <c r="AG87" s="2"/>
    </row>
    <row r="88" customFormat="false" ht="15.75" hidden="false" customHeight="true" outlineLevel="0" collapsed="false">
      <c r="A88" s="2"/>
      <c r="E88" s="2"/>
      <c r="V88" s="2"/>
      <c r="W88" s="2"/>
      <c r="AC88" s="2"/>
      <c r="AD88" s="2"/>
      <c r="AE88" s="2"/>
      <c r="AG88" s="2"/>
    </row>
    <row r="89" customFormat="false" ht="15.75" hidden="false" customHeight="true" outlineLevel="0" collapsed="false">
      <c r="A89" s="2"/>
      <c r="E89" s="2"/>
      <c r="V89" s="2"/>
      <c r="W89" s="2"/>
      <c r="AC89" s="2"/>
      <c r="AD89" s="2"/>
      <c r="AE89" s="2"/>
      <c r="AG89" s="2"/>
    </row>
    <row r="90" customFormat="false" ht="15.75" hidden="false" customHeight="true" outlineLevel="0" collapsed="false">
      <c r="A90" s="2"/>
      <c r="E90" s="2"/>
      <c r="V90" s="2"/>
      <c r="W90" s="2"/>
      <c r="AC90" s="2"/>
      <c r="AD90" s="2"/>
      <c r="AE90" s="2"/>
      <c r="AG90" s="2"/>
    </row>
    <row r="91" customFormat="false" ht="15.75" hidden="false" customHeight="true" outlineLevel="0" collapsed="false">
      <c r="A91" s="2"/>
      <c r="E91" s="2"/>
      <c r="V91" s="2"/>
      <c r="W91" s="2"/>
      <c r="AC91" s="2"/>
      <c r="AD91" s="2"/>
      <c r="AE91" s="2"/>
      <c r="AG91" s="2"/>
    </row>
    <row r="92" customFormat="false" ht="15.75" hidden="false" customHeight="true" outlineLevel="0" collapsed="false">
      <c r="A92" s="2"/>
      <c r="E92" s="2"/>
      <c r="V92" s="2"/>
      <c r="W92" s="2"/>
      <c r="AC92" s="2"/>
      <c r="AD92" s="2"/>
      <c r="AE92" s="2"/>
      <c r="AG92" s="2"/>
    </row>
    <row r="93" customFormat="false" ht="15.75" hidden="false" customHeight="true" outlineLevel="0" collapsed="false">
      <c r="A93" s="2"/>
      <c r="E93" s="2"/>
      <c r="V93" s="2"/>
      <c r="W93" s="2"/>
      <c r="AC93" s="2"/>
      <c r="AD93" s="2"/>
      <c r="AE93" s="2"/>
      <c r="AG93" s="2"/>
    </row>
    <row r="94" customFormat="false" ht="15.75" hidden="false" customHeight="true" outlineLevel="0" collapsed="false">
      <c r="A94" s="2"/>
      <c r="E94" s="2"/>
      <c r="V94" s="2"/>
      <c r="W94" s="2"/>
      <c r="AC94" s="2"/>
      <c r="AD94" s="2"/>
      <c r="AE94" s="2"/>
      <c r="AG94" s="2"/>
    </row>
    <row r="95" customFormat="false" ht="15.75" hidden="false" customHeight="true" outlineLevel="0" collapsed="false">
      <c r="A95" s="2"/>
      <c r="E95" s="2"/>
      <c r="V95" s="2"/>
      <c r="W95" s="2"/>
      <c r="AC95" s="2"/>
      <c r="AD95" s="2"/>
      <c r="AE95" s="2"/>
      <c r="AG95" s="2"/>
    </row>
    <row r="96" customFormat="false" ht="15.75" hidden="false" customHeight="true" outlineLevel="0" collapsed="false">
      <c r="A96" s="2"/>
      <c r="E96" s="2"/>
      <c r="V96" s="2"/>
      <c r="W96" s="2"/>
      <c r="AC96" s="2"/>
      <c r="AD96" s="2"/>
      <c r="AE96" s="2"/>
      <c r="AG96" s="2"/>
    </row>
    <row r="97" customFormat="false" ht="15.75" hidden="false" customHeight="true" outlineLevel="0" collapsed="false">
      <c r="A97" s="2"/>
      <c r="E97" s="2"/>
      <c r="V97" s="2"/>
      <c r="W97" s="2"/>
      <c r="AC97" s="2"/>
      <c r="AD97" s="2"/>
      <c r="AE97" s="2"/>
      <c r="AG97" s="2"/>
    </row>
    <row r="98" customFormat="false" ht="15.75" hidden="false" customHeight="true" outlineLevel="0" collapsed="false">
      <c r="A98" s="2"/>
      <c r="E98" s="2"/>
      <c r="V98" s="2"/>
      <c r="W98" s="2"/>
      <c r="AC98" s="2"/>
      <c r="AD98" s="2"/>
      <c r="AE98" s="2"/>
      <c r="AG98" s="2"/>
    </row>
    <row r="99" customFormat="false" ht="15.75" hidden="false" customHeight="true" outlineLevel="0" collapsed="false">
      <c r="A99" s="2"/>
      <c r="E99" s="2"/>
      <c r="V99" s="2"/>
      <c r="W99" s="2"/>
      <c r="AC99" s="2"/>
      <c r="AD99" s="2"/>
      <c r="AE99" s="2"/>
      <c r="AG99" s="2"/>
    </row>
    <row r="100" customFormat="false" ht="15.75" hidden="false" customHeight="true" outlineLevel="0" collapsed="false">
      <c r="A100" s="2"/>
      <c r="E100" s="2"/>
      <c r="V100" s="2"/>
      <c r="W100" s="2"/>
      <c r="AC100" s="2"/>
      <c r="AD100" s="2"/>
      <c r="AE100" s="2"/>
      <c r="AG100" s="2"/>
    </row>
    <row r="101" customFormat="false" ht="15.75" hidden="false" customHeight="true" outlineLevel="0" collapsed="false">
      <c r="A101" s="2"/>
      <c r="E101" s="2"/>
      <c r="V101" s="2"/>
      <c r="W101" s="2"/>
      <c r="AC101" s="2"/>
      <c r="AD101" s="2"/>
      <c r="AE101" s="2"/>
      <c r="AG101" s="2"/>
    </row>
    <row r="102" customFormat="false" ht="15.75" hidden="false" customHeight="true" outlineLevel="0" collapsed="false">
      <c r="A102" s="2"/>
      <c r="E102" s="2"/>
      <c r="V102" s="2"/>
      <c r="W102" s="2"/>
      <c r="AC102" s="2"/>
      <c r="AD102" s="2"/>
      <c r="AE102" s="2"/>
      <c r="AG102" s="2"/>
    </row>
    <row r="103" customFormat="false" ht="15.75" hidden="false" customHeight="true" outlineLevel="0" collapsed="false">
      <c r="A103" s="2"/>
      <c r="E103" s="2"/>
      <c r="V103" s="2"/>
      <c r="W103" s="2"/>
      <c r="AC103" s="2"/>
      <c r="AD103" s="2"/>
      <c r="AE103" s="2"/>
      <c r="AG103" s="2"/>
    </row>
    <row r="104" customFormat="false" ht="15.75" hidden="false" customHeight="true" outlineLevel="0" collapsed="false">
      <c r="A104" s="2"/>
      <c r="E104" s="2"/>
      <c r="V104" s="2"/>
      <c r="W104" s="2"/>
      <c r="AC104" s="2"/>
      <c r="AD104" s="2"/>
      <c r="AE104" s="2"/>
      <c r="AG104" s="2"/>
    </row>
    <row r="105" customFormat="false" ht="15.75" hidden="false" customHeight="true" outlineLevel="0" collapsed="false">
      <c r="A105" s="2"/>
      <c r="E105" s="2"/>
      <c r="V105" s="2"/>
      <c r="W105" s="2"/>
      <c r="AC105" s="2"/>
      <c r="AD105" s="2"/>
      <c r="AE105" s="2"/>
      <c r="AG105" s="2"/>
    </row>
    <row r="106" customFormat="false" ht="15.75" hidden="false" customHeight="true" outlineLevel="0" collapsed="false">
      <c r="A106" s="2"/>
      <c r="E106" s="2"/>
      <c r="V106" s="2"/>
      <c r="W106" s="2"/>
      <c r="AC106" s="2"/>
      <c r="AD106" s="2"/>
      <c r="AE106" s="2"/>
      <c r="AG106" s="2"/>
    </row>
    <row r="107" customFormat="false" ht="15.75" hidden="false" customHeight="true" outlineLevel="0" collapsed="false">
      <c r="A107" s="2"/>
      <c r="E107" s="2"/>
      <c r="V107" s="2"/>
      <c r="W107" s="2"/>
      <c r="AC107" s="2"/>
      <c r="AD107" s="2"/>
      <c r="AE107" s="2"/>
      <c r="AG107" s="2"/>
    </row>
    <row r="108" customFormat="false" ht="15.75" hidden="false" customHeight="true" outlineLevel="0" collapsed="false">
      <c r="A108" s="2"/>
      <c r="E108" s="2"/>
      <c r="V108" s="2"/>
      <c r="W108" s="2"/>
      <c r="AC108" s="2"/>
      <c r="AD108" s="2"/>
      <c r="AE108" s="2"/>
      <c r="AG108" s="2"/>
    </row>
    <row r="109" customFormat="false" ht="15.75" hidden="false" customHeight="true" outlineLevel="0" collapsed="false">
      <c r="A109" s="2"/>
      <c r="E109" s="2"/>
      <c r="V109" s="2"/>
      <c r="W109" s="2"/>
      <c r="AC109" s="2"/>
      <c r="AD109" s="2"/>
      <c r="AE109" s="2"/>
      <c r="AG109" s="2"/>
    </row>
    <row r="110" customFormat="false" ht="15.75" hidden="false" customHeight="true" outlineLevel="0" collapsed="false">
      <c r="A110" s="2"/>
      <c r="E110" s="2"/>
      <c r="V110" s="2"/>
      <c r="W110" s="2"/>
      <c r="AC110" s="2"/>
      <c r="AD110" s="2"/>
      <c r="AE110" s="2"/>
      <c r="AG110" s="2"/>
    </row>
    <row r="111" customFormat="false" ht="15.75" hidden="false" customHeight="true" outlineLevel="0" collapsed="false">
      <c r="A111" s="2"/>
      <c r="E111" s="2"/>
      <c r="V111" s="2"/>
      <c r="W111" s="2"/>
      <c r="AC111" s="2"/>
      <c r="AD111" s="2"/>
      <c r="AE111" s="2"/>
      <c r="AG111" s="2"/>
    </row>
    <row r="112" customFormat="false" ht="15.75" hidden="false" customHeight="true" outlineLevel="0" collapsed="false">
      <c r="A112" s="2"/>
      <c r="E112" s="2"/>
      <c r="V112" s="2"/>
      <c r="W112" s="2"/>
      <c r="AC112" s="2"/>
      <c r="AD112" s="2"/>
      <c r="AE112" s="2"/>
      <c r="AG112" s="2"/>
    </row>
    <row r="113" customFormat="false" ht="15.75" hidden="false" customHeight="true" outlineLevel="0" collapsed="false">
      <c r="A113" s="2"/>
      <c r="E113" s="2"/>
      <c r="V113" s="2"/>
      <c r="W113" s="2"/>
      <c r="AC113" s="2"/>
      <c r="AD113" s="2"/>
      <c r="AE113" s="2"/>
      <c r="AG113" s="2"/>
    </row>
    <row r="114" customFormat="false" ht="15.75" hidden="false" customHeight="true" outlineLevel="0" collapsed="false">
      <c r="A114" s="2"/>
      <c r="E114" s="2"/>
      <c r="V114" s="2"/>
      <c r="W114" s="2"/>
      <c r="AC114" s="2"/>
      <c r="AD114" s="2"/>
      <c r="AE114" s="2"/>
      <c r="AG114" s="2"/>
    </row>
    <row r="115" customFormat="false" ht="15.75" hidden="false" customHeight="true" outlineLevel="0" collapsed="false">
      <c r="A115" s="2"/>
      <c r="E115" s="2"/>
      <c r="V115" s="2"/>
      <c r="W115" s="2"/>
      <c r="AC115" s="2"/>
      <c r="AD115" s="2"/>
      <c r="AE115" s="2"/>
      <c r="AG115" s="2"/>
    </row>
    <row r="116" customFormat="false" ht="15.75" hidden="false" customHeight="true" outlineLevel="0" collapsed="false">
      <c r="A116" s="2"/>
      <c r="E116" s="2"/>
      <c r="V116" s="2"/>
      <c r="W116" s="2"/>
      <c r="AC116" s="2"/>
      <c r="AD116" s="2"/>
      <c r="AE116" s="2"/>
      <c r="AG116" s="2"/>
    </row>
    <row r="117" customFormat="false" ht="15.75" hidden="false" customHeight="true" outlineLevel="0" collapsed="false">
      <c r="A117" s="2"/>
      <c r="E117" s="2"/>
      <c r="V117" s="2"/>
      <c r="W117" s="2"/>
      <c r="AC117" s="2"/>
      <c r="AD117" s="2"/>
      <c r="AE117" s="2"/>
      <c r="AG117" s="2"/>
    </row>
    <row r="118" customFormat="false" ht="15.75" hidden="false" customHeight="true" outlineLevel="0" collapsed="false">
      <c r="A118" s="2"/>
      <c r="E118" s="2"/>
      <c r="V118" s="2"/>
      <c r="W118" s="2"/>
      <c r="AC118" s="2"/>
      <c r="AD118" s="2"/>
      <c r="AE118" s="2"/>
      <c r="AG118" s="2"/>
    </row>
    <row r="119" customFormat="false" ht="15.75" hidden="false" customHeight="true" outlineLevel="0" collapsed="false">
      <c r="A119" s="2"/>
      <c r="E119" s="2"/>
      <c r="V119" s="2"/>
      <c r="W119" s="2"/>
      <c r="AC119" s="2"/>
      <c r="AD119" s="2"/>
      <c r="AE119" s="2"/>
      <c r="AG119" s="2"/>
    </row>
    <row r="120" customFormat="false" ht="15.75" hidden="false" customHeight="true" outlineLevel="0" collapsed="false">
      <c r="A120" s="2"/>
      <c r="E120" s="2"/>
      <c r="V120" s="2"/>
      <c r="W120" s="2"/>
      <c r="AC120" s="2"/>
      <c r="AD120" s="2"/>
      <c r="AE120" s="2"/>
      <c r="AG120" s="2"/>
    </row>
    <row r="121" customFormat="false" ht="15.75" hidden="false" customHeight="true" outlineLevel="0" collapsed="false">
      <c r="A121" s="2"/>
      <c r="E121" s="2"/>
      <c r="V121" s="2"/>
      <c r="W121" s="2"/>
      <c r="AC121" s="2"/>
      <c r="AD121" s="2"/>
      <c r="AE121" s="2"/>
      <c r="AG121" s="2"/>
    </row>
    <row r="122" customFormat="false" ht="15.75" hidden="false" customHeight="true" outlineLevel="0" collapsed="false">
      <c r="A122" s="2"/>
      <c r="E122" s="2"/>
      <c r="V122" s="2"/>
      <c r="W122" s="2"/>
      <c r="AC122" s="2"/>
      <c r="AD122" s="2"/>
      <c r="AE122" s="2"/>
      <c r="AG122" s="2"/>
    </row>
    <row r="123" customFormat="false" ht="15.75" hidden="false" customHeight="true" outlineLevel="0" collapsed="false">
      <c r="A123" s="2"/>
      <c r="E123" s="2"/>
      <c r="V123" s="2"/>
      <c r="W123" s="2"/>
      <c r="AC123" s="2"/>
      <c r="AD123" s="2"/>
      <c r="AE123" s="2"/>
      <c r="AG123" s="2"/>
    </row>
    <row r="124" customFormat="false" ht="15.75" hidden="false" customHeight="true" outlineLevel="0" collapsed="false">
      <c r="A124" s="2"/>
      <c r="E124" s="2"/>
      <c r="V124" s="2"/>
      <c r="W124" s="2"/>
      <c r="AC124" s="2"/>
      <c r="AD124" s="2"/>
      <c r="AE124" s="2"/>
      <c r="AG124" s="2"/>
    </row>
    <row r="125" customFormat="false" ht="15.75" hidden="false" customHeight="true" outlineLevel="0" collapsed="false">
      <c r="A125" s="2"/>
      <c r="E125" s="2"/>
      <c r="V125" s="2"/>
      <c r="W125" s="2"/>
      <c r="AC125" s="2"/>
      <c r="AD125" s="2"/>
      <c r="AE125" s="2"/>
      <c r="AG125" s="2"/>
    </row>
    <row r="126" customFormat="false" ht="15.75" hidden="false" customHeight="true" outlineLevel="0" collapsed="false">
      <c r="A126" s="2"/>
      <c r="E126" s="2"/>
      <c r="V126" s="2"/>
      <c r="W126" s="2"/>
      <c r="AC126" s="2"/>
      <c r="AD126" s="2"/>
      <c r="AE126" s="2"/>
      <c r="AG126" s="2"/>
    </row>
    <row r="127" customFormat="false" ht="15.75" hidden="false" customHeight="true" outlineLevel="0" collapsed="false">
      <c r="A127" s="2"/>
      <c r="E127" s="2"/>
      <c r="V127" s="2"/>
      <c r="W127" s="2"/>
      <c r="AC127" s="2"/>
      <c r="AD127" s="2"/>
      <c r="AE127" s="2"/>
      <c r="AG127" s="2"/>
    </row>
    <row r="128" customFormat="false" ht="15.75" hidden="false" customHeight="true" outlineLevel="0" collapsed="false">
      <c r="A128" s="2"/>
      <c r="E128" s="2"/>
      <c r="V128" s="2"/>
      <c r="W128" s="2"/>
      <c r="AC128" s="2"/>
      <c r="AD128" s="2"/>
      <c r="AE128" s="2"/>
      <c r="AG128" s="2"/>
    </row>
    <row r="129" customFormat="false" ht="15.75" hidden="false" customHeight="true" outlineLevel="0" collapsed="false">
      <c r="A129" s="2"/>
      <c r="E129" s="2"/>
      <c r="V129" s="2"/>
      <c r="W129" s="2"/>
      <c r="AC129" s="2"/>
      <c r="AD129" s="2"/>
      <c r="AE129" s="2"/>
      <c r="AG129" s="2"/>
    </row>
    <row r="130" customFormat="false" ht="15.75" hidden="false" customHeight="true" outlineLevel="0" collapsed="false">
      <c r="A130" s="2"/>
      <c r="E130" s="2"/>
      <c r="V130" s="2"/>
      <c r="W130" s="2"/>
      <c r="AC130" s="2"/>
      <c r="AD130" s="2"/>
      <c r="AE130" s="2"/>
      <c r="AG130" s="2"/>
    </row>
    <row r="131" customFormat="false" ht="15.75" hidden="false" customHeight="true" outlineLevel="0" collapsed="false">
      <c r="A131" s="2"/>
      <c r="E131" s="2"/>
      <c r="V131" s="2"/>
      <c r="W131" s="2"/>
      <c r="AC131" s="2"/>
      <c r="AD131" s="2"/>
      <c r="AE131" s="2"/>
      <c r="AG131" s="2"/>
    </row>
    <row r="132" customFormat="false" ht="15.75" hidden="false" customHeight="true" outlineLevel="0" collapsed="false">
      <c r="A132" s="2"/>
      <c r="E132" s="2"/>
      <c r="V132" s="2"/>
      <c r="W132" s="2"/>
      <c r="AC132" s="2"/>
      <c r="AD132" s="2"/>
      <c r="AE132" s="2"/>
      <c r="AG132" s="2"/>
    </row>
    <row r="133" customFormat="false" ht="15.75" hidden="false" customHeight="true" outlineLevel="0" collapsed="false">
      <c r="A133" s="2"/>
      <c r="E133" s="2"/>
      <c r="V133" s="2"/>
      <c r="W133" s="2"/>
      <c r="AC133" s="2"/>
      <c r="AD133" s="2"/>
      <c r="AE133" s="2"/>
      <c r="AG133" s="2"/>
    </row>
    <row r="134" customFormat="false" ht="15.75" hidden="false" customHeight="true" outlineLevel="0" collapsed="false">
      <c r="A134" s="2"/>
      <c r="E134" s="2"/>
      <c r="V134" s="2"/>
      <c r="W134" s="2"/>
      <c r="AC134" s="2"/>
      <c r="AD134" s="2"/>
      <c r="AE134" s="2"/>
      <c r="AG134" s="2"/>
    </row>
    <row r="135" customFormat="false" ht="15.75" hidden="false" customHeight="true" outlineLevel="0" collapsed="false">
      <c r="A135" s="2"/>
      <c r="E135" s="2"/>
      <c r="V135" s="2"/>
      <c r="W135" s="2"/>
      <c r="AC135" s="2"/>
      <c r="AD135" s="2"/>
      <c r="AE135" s="2"/>
      <c r="AG135" s="2"/>
    </row>
    <row r="136" customFormat="false" ht="15.75" hidden="false" customHeight="true" outlineLevel="0" collapsed="false">
      <c r="A136" s="2"/>
      <c r="E136" s="2"/>
      <c r="V136" s="2"/>
      <c r="W136" s="2"/>
      <c r="AC136" s="2"/>
      <c r="AD136" s="2"/>
      <c r="AE136" s="2"/>
      <c r="AG136" s="2"/>
    </row>
    <row r="137" customFormat="false" ht="15.75" hidden="false" customHeight="true" outlineLevel="0" collapsed="false">
      <c r="A137" s="2"/>
      <c r="E137" s="2"/>
      <c r="V137" s="2"/>
      <c r="W137" s="2"/>
      <c r="AC137" s="2"/>
      <c r="AD137" s="2"/>
      <c r="AE137" s="2"/>
      <c r="AG137" s="2"/>
    </row>
    <row r="138" customFormat="false" ht="15.75" hidden="false" customHeight="true" outlineLevel="0" collapsed="false">
      <c r="A138" s="2"/>
      <c r="E138" s="2"/>
      <c r="V138" s="2"/>
      <c r="W138" s="2"/>
      <c r="AC138" s="2"/>
      <c r="AD138" s="2"/>
      <c r="AE138" s="2"/>
      <c r="AG138" s="2"/>
    </row>
    <row r="139" customFormat="false" ht="15.75" hidden="false" customHeight="true" outlineLevel="0" collapsed="false">
      <c r="A139" s="2"/>
      <c r="E139" s="2"/>
      <c r="V139" s="2"/>
      <c r="W139" s="2"/>
      <c r="AC139" s="2"/>
      <c r="AD139" s="2"/>
      <c r="AE139" s="2"/>
      <c r="AG139" s="2"/>
    </row>
    <row r="140" customFormat="false" ht="15.75" hidden="false" customHeight="true" outlineLevel="0" collapsed="false">
      <c r="A140" s="2"/>
      <c r="E140" s="2"/>
      <c r="V140" s="2"/>
      <c r="W140" s="2"/>
      <c r="AC140" s="2"/>
      <c r="AD140" s="2"/>
      <c r="AE140" s="2"/>
      <c r="AG140" s="2"/>
    </row>
    <row r="141" customFormat="false" ht="15.75" hidden="false" customHeight="true" outlineLevel="0" collapsed="false">
      <c r="A141" s="2"/>
      <c r="E141" s="2"/>
      <c r="V141" s="2"/>
      <c r="W141" s="2"/>
      <c r="AC141" s="2"/>
      <c r="AD141" s="2"/>
      <c r="AE141" s="2"/>
      <c r="AG141" s="2"/>
    </row>
    <row r="142" customFormat="false" ht="15.75" hidden="false" customHeight="true" outlineLevel="0" collapsed="false">
      <c r="A142" s="2"/>
      <c r="E142" s="2"/>
      <c r="V142" s="2"/>
      <c r="W142" s="2"/>
      <c r="AC142" s="2"/>
      <c r="AD142" s="2"/>
      <c r="AE142" s="2"/>
      <c r="AG142" s="2"/>
    </row>
    <row r="143" customFormat="false" ht="15.75" hidden="false" customHeight="true" outlineLevel="0" collapsed="false">
      <c r="A143" s="2"/>
      <c r="E143" s="2"/>
      <c r="V143" s="2"/>
      <c r="W143" s="2"/>
      <c r="AC143" s="2"/>
      <c r="AD143" s="2"/>
      <c r="AE143" s="2"/>
      <c r="AG143" s="2"/>
    </row>
    <row r="144" customFormat="false" ht="15.75" hidden="false" customHeight="true" outlineLevel="0" collapsed="false">
      <c r="A144" s="2"/>
      <c r="E144" s="2"/>
      <c r="V144" s="2"/>
      <c r="W144" s="2"/>
      <c r="AC144" s="2"/>
      <c r="AD144" s="2"/>
      <c r="AE144" s="2"/>
      <c r="AG144" s="2"/>
    </row>
    <row r="145" customFormat="false" ht="15.75" hidden="false" customHeight="true" outlineLevel="0" collapsed="false">
      <c r="A145" s="2"/>
      <c r="E145" s="2"/>
      <c r="V145" s="2"/>
      <c r="W145" s="2"/>
      <c r="AC145" s="2"/>
      <c r="AD145" s="2"/>
      <c r="AE145" s="2"/>
      <c r="AG145" s="2"/>
    </row>
    <row r="146" customFormat="false" ht="15.75" hidden="false" customHeight="true" outlineLevel="0" collapsed="false">
      <c r="A146" s="2"/>
      <c r="E146" s="2"/>
      <c r="V146" s="2"/>
      <c r="W146" s="2"/>
      <c r="AC146" s="2"/>
      <c r="AD146" s="2"/>
      <c r="AE146" s="2"/>
      <c r="AG146" s="2"/>
    </row>
    <row r="147" customFormat="false" ht="15.75" hidden="false" customHeight="true" outlineLevel="0" collapsed="false">
      <c r="A147" s="2"/>
      <c r="E147" s="2"/>
      <c r="V147" s="2"/>
      <c r="W147" s="2"/>
      <c r="AC147" s="2"/>
      <c r="AD147" s="2"/>
      <c r="AE147" s="2"/>
      <c r="AG147" s="2"/>
    </row>
    <row r="148" customFormat="false" ht="15.75" hidden="false" customHeight="true" outlineLevel="0" collapsed="false">
      <c r="A148" s="2"/>
      <c r="E148" s="2"/>
      <c r="V148" s="2"/>
      <c r="W148" s="2"/>
      <c r="AC148" s="2"/>
      <c r="AD148" s="2"/>
      <c r="AE148" s="2"/>
      <c r="AG148" s="2"/>
    </row>
    <row r="149" customFormat="false" ht="15.75" hidden="false" customHeight="true" outlineLevel="0" collapsed="false">
      <c r="A149" s="2"/>
      <c r="E149" s="2"/>
      <c r="V149" s="2"/>
      <c r="W149" s="2"/>
      <c r="AC149" s="2"/>
      <c r="AD149" s="2"/>
      <c r="AE149" s="2"/>
      <c r="AG149" s="2"/>
    </row>
    <row r="150" customFormat="false" ht="15.75" hidden="false" customHeight="true" outlineLevel="0" collapsed="false">
      <c r="A150" s="2"/>
      <c r="E150" s="2"/>
      <c r="V150" s="2"/>
      <c r="W150" s="2"/>
      <c r="AC150" s="2"/>
      <c r="AD150" s="2"/>
      <c r="AE150" s="2"/>
      <c r="AG150" s="2"/>
    </row>
    <row r="151" customFormat="false" ht="15.75" hidden="false" customHeight="true" outlineLevel="0" collapsed="false">
      <c r="A151" s="2"/>
      <c r="E151" s="2"/>
      <c r="V151" s="2"/>
      <c r="W151" s="2"/>
      <c r="AC151" s="2"/>
      <c r="AD151" s="2"/>
      <c r="AE151" s="2"/>
      <c r="AG151" s="2"/>
    </row>
    <row r="152" customFormat="false" ht="15.75" hidden="false" customHeight="true" outlineLevel="0" collapsed="false">
      <c r="A152" s="2"/>
      <c r="E152" s="2"/>
      <c r="V152" s="2"/>
      <c r="W152" s="2"/>
      <c r="AC152" s="2"/>
      <c r="AD152" s="2"/>
      <c r="AE152" s="2"/>
      <c r="AG152" s="2"/>
    </row>
    <row r="153" customFormat="false" ht="15.75" hidden="false" customHeight="true" outlineLevel="0" collapsed="false">
      <c r="A153" s="2"/>
      <c r="E153" s="2"/>
      <c r="V153" s="2"/>
      <c r="W153" s="2"/>
      <c r="AC153" s="2"/>
      <c r="AD153" s="2"/>
      <c r="AE153" s="2"/>
      <c r="AG153" s="2"/>
    </row>
    <row r="154" customFormat="false" ht="15.75" hidden="false" customHeight="true" outlineLevel="0" collapsed="false">
      <c r="A154" s="2"/>
      <c r="E154" s="2"/>
      <c r="V154" s="2"/>
      <c r="W154" s="2"/>
      <c r="AC154" s="2"/>
      <c r="AD154" s="2"/>
      <c r="AE154" s="2"/>
      <c r="AG154" s="2"/>
    </row>
    <row r="155" customFormat="false" ht="15.75" hidden="false" customHeight="true" outlineLevel="0" collapsed="false">
      <c r="A155" s="2"/>
      <c r="E155" s="2"/>
      <c r="V155" s="2"/>
      <c r="W155" s="2"/>
      <c r="AC155" s="2"/>
      <c r="AD155" s="2"/>
      <c r="AE155" s="2"/>
      <c r="AG155" s="2"/>
    </row>
    <row r="156" customFormat="false" ht="15.75" hidden="false" customHeight="true" outlineLevel="0" collapsed="false">
      <c r="A156" s="2"/>
      <c r="E156" s="2"/>
      <c r="V156" s="2"/>
      <c r="W156" s="2"/>
      <c r="AC156" s="2"/>
      <c r="AD156" s="2"/>
      <c r="AE156" s="2"/>
      <c r="AG156" s="2"/>
    </row>
    <row r="157" customFormat="false" ht="15.75" hidden="false" customHeight="true" outlineLevel="0" collapsed="false">
      <c r="A157" s="2"/>
      <c r="E157" s="2"/>
      <c r="V157" s="2"/>
      <c r="W157" s="2"/>
      <c r="AC157" s="2"/>
      <c r="AD157" s="2"/>
      <c r="AE157" s="2"/>
      <c r="AG157" s="2"/>
    </row>
    <row r="158" customFormat="false" ht="15.75" hidden="false" customHeight="true" outlineLevel="0" collapsed="false">
      <c r="A158" s="2"/>
      <c r="E158" s="2"/>
      <c r="V158" s="2"/>
      <c r="W158" s="2"/>
      <c r="AC158" s="2"/>
      <c r="AD158" s="2"/>
      <c r="AE158" s="2"/>
      <c r="AG158" s="2"/>
    </row>
    <row r="159" customFormat="false" ht="15.75" hidden="false" customHeight="true" outlineLevel="0" collapsed="false">
      <c r="A159" s="2"/>
      <c r="E159" s="2"/>
      <c r="V159" s="2"/>
      <c r="W159" s="2"/>
      <c r="AC159" s="2"/>
      <c r="AD159" s="2"/>
      <c r="AE159" s="2"/>
      <c r="AG159" s="2"/>
    </row>
    <row r="160" customFormat="false" ht="15.75" hidden="false" customHeight="true" outlineLevel="0" collapsed="false">
      <c r="A160" s="2"/>
      <c r="E160" s="2"/>
      <c r="V160" s="2"/>
      <c r="W160" s="2"/>
      <c r="AC160" s="2"/>
      <c r="AD160" s="2"/>
      <c r="AE160" s="2"/>
      <c r="AG160" s="2"/>
    </row>
    <row r="161" customFormat="false" ht="15.75" hidden="false" customHeight="true" outlineLevel="0" collapsed="false">
      <c r="A161" s="2"/>
      <c r="E161" s="2"/>
      <c r="V161" s="2"/>
      <c r="W161" s="2"/>
      <c r="AC161" s="2"/>
      <c r="AD161" s="2"/>
      <c r="AE161" s="2"/>
      <c r="AG161" s="2"/>
    </row>
    <row r="162" customFormat="false" ht="15.75" hidden="false" customHeight="true" outlineLevel="0" collapsed="false">
      <c r="A162" s="2"/>
      <c r="E162" s="2"/>
      <c r="V162" s="2"/>
      <c r="W162" s="2"/>
      <c r="AC162" s="2"/>
      <c r="AD162" s="2"/>
      <c r="AE162" s="2"/>
      <c r="AG162" s="2"/>
    </row>
    <row r="163" customFormat="false" ht="15.75" hidden="false" customHeight="true" outlineLevel="0" collapsed="false">
      <c r="A163" s="2"/>
      <c r="E163" s="2"/>
      <c r="V163" s="2"/>
      <c r="W163" s="2"/>
      <c r="AC163" s="2"/>
      <c r="AD163" s="2"/>
      <c r="AE163" s="2"/>
      <c r="AG163" s="2"/>
    </row>
    <row r="164" customFormat="false" ht="15.75" hidden="false" customHeight="true" outlineLevel="0" collapsed="false">
      <c r="A164" s="2"/>
      <c r="E164" s="2"/>
      <c r="V164" s="2"/>
      <c r="W164" s="2"/>
      <c r="AC164" s="2"/>
      <c r="AD164" s="2"/>
      <c r="AE164" s="2"/>
      <c r="AG164" s="2"/>
    </row>
    <row r="165" customFormat="false" ht="15.75" hidden="false" customHeight="true" outlineLevel="0" collapsed="false">
      <c r="A165" s="2"/>
      <c r="E165" s="2"/>
      <c r="V165" s="2"/>
      <c r="W165" s="2"/>
      <c r="AC165" s="2"/>
      <c r="AD165" s="2"/>
      <c r="AE165" s="2"/>
      <c r="AG165" s="2"/>
    </row>
    <row r="166" customFormat="false" ht="15.75" hidden="false" customHeight="true" outlineLevel="0" collapsed="false">
      <c r="A166" s="2"/>
      <c r="E166" s="2"/>
      <c r="V166" s="2"/>
      <c r="W166" s="2"/>
      <c r="AC166" s="2"/>
      <c r="AD166" s="2"/>
      <c r="AE166" s="2"/>
      <c r="AG166" s="2"/>
    </row>
    <row r="167" customFormat="false" ht="15.75" hidden="false" customHeight="true" outlineLevel="0" collapsed="false">
      <c r="A167" s="2"/>
      <c r="E167" s="2"/>
      <c r="V167" s="2"/>
      <c r="W167" s="2"/>
      <c r="AC167" s="2"/>
      <c r="AD167" s="2"/>
      <c r="AE167" s="2"/>
      <c r="AG167" s="2"/>
    </row>
    <row r="168" customFormat="false" ht="15.75" hidden="false" customHeight="true" outlineLevel="0" collapsed="false">
      <c r="A168" s="2"/>
      <c r="E168" s="2"/>
      <c r="V168" s="2"/>
      <c r="W168" s="2"/>
      <c r="AC168" s="2"/>
      <c r="AD168" s="2"/>
      <c r="AE168" s="2"/>
      <c r="AG168" s="2"/>
    </row>
    <row r="169" customFormat="false" ht="15.75" hidden="false" customHeight="true" outlineLevel="0" collapsed="false">
      <c r="A169" s="2"/>
      <c r="E169" s="2"/>
      <c r="V169" s="2"/>
      <c r="W169" s="2"/>
      <c r="AC169" s="2"/>
      <c r="AD169" s="2"/>
      <c r="AE169" s="2"/>
      <c r="AG169" s="2"/>
    </row>
    <row r="170" customFormat="false" ht="15.75" hidden="false" customHeight="true" outlineLevel="0" collapsed="false">
      <c r="A170" s="2"/>
      <c r="E170" s="2"/>
      <c r="V170" s="2"/>
      <c r="W170" s="2"/>
      <c r="AC170" s="2"/>
      <c r="AD170" s="2"/>
      <c r="AE170" s="2"/>
      <c r="AG170" s="2"/>
    </row>
    <row r="171" customFormat="false" ht="15.75" hidden="false" customHeight="true" outlineLevel="0" collapsed="false">
      <c r="A171" s="2"/>
      <c r="E171" s="2"/>
      <c r="V171" s="2"/>
      <c r="W171" s="2"/>
      <c r="AC171" s="2"/>
      <c r="AD171" s="2"/>
      <c r="AE171" s="2"/>
      <c r="AG171" s="2"/>
    </row>
    <row r="172" customFormat="false" ht="15.75" hidden="false" customHeight="true" outlineLevel="0" collapsed="false">
      <c r="A172" s="2"/>
      <c r="E172" s="2"/>
      <c r="V172" s="2"/>
      <c r="W172" s="2"/>
      <c r="AC172" s="2"/>
      <c r="AD172" s="2"/>
      <c r="AE172" s="2"/>
      <c r="AG172" s="2"/>
    </row>
    <row r="173" customFormat="false" ht="15.75" hidden="false" customHeight="true" outlineLevel="0" collapsed="false">
      <c r="A173" s="2"/>
      <c r="E173" s="2"/>
      <c r="V173" s="2"/>
      <c r="W173" s="2"/>
      <c r="AC173" s="2"/>
      <c r="AD173" s="2"/>
      <c r="AE173" s="2"/>
      <c r="AG173" s="2"/>
    </row>
    <row r="174" customFormat="false" ht="15.75" hidden="false" customHeight="true" outlineLevel="0" collapsed="false">
      <c r="A174" s="2"/>
      <c r="E174" s="2"/>
      <c r="V174" s="2"/>
      <c r="W174" s="2"/>
      <c r="AC174" s="2"/>
      <c r="AD174" s="2"/>
      <c r="AE174" s="2"/>
      <c r="AG174" s="2"/>
    </row>
    <row r="175" customFormat="false" ht="15.75" hidden="false" customHeight="true" outlineLevel="0" collapsed="false">
      <c r="A175" s="2"/>
      <c r="E175" s="2"/>
      <c r="V175" s="2"/>
      <c r="W175" s="2"/>
      <c r="AC175" s="2"/>
      <c r="AD175" s="2"/>
      <c r="AE175" s="2"/>
      <c r="AG175" s="2"/>
    </row>
    <row r="176" customFormat="false" ht="15.75" hidden="false" customHeight="true" outlineLevel="0" collapsed="false">
      <c r="A176" s="2"/>
      <c r="E176" s="2"/>
      <c r="V176" s="2"/>
      <c r="W176" s="2"/>
      <c r="AC176" s="2"/>
      <c r="AD176" s="2"/>
      <c r="AE176" s="2"/>
      <c r="AG176" s="2"/>
    </row>
    <row r="177" customFormat="false" ht="15.75" hidden="false" customHeight="true" outlineLevel="0" collapsed="false">
      <c r="A177" s="2"/>
      <c r="E177" s="2"/>
      <c r="V177" s="2"/>
      <c r="W177" s="2"/>
      <c r="AC177" s="2"/>
      <c r="AD177" s="2"/>
      <c r="AE177" s="2"/>
      <c r="AG177" s="2"/>
    </row>
    <row r="178" customFormat="false" ht="15.75" hidden="false" customHeight="true" outlineLevel="0" collapsed="false">
      <c r="A178" s="2"/>
      <c r="E178" s="2"/>
      <c r="V178" s="2"/>
      <c r="W178" s="2"/>
      <c r="AC178" s="2"/>
      <c r="AD178" s="2"/>
      <c r="AE178" s="2"/>
      <c r="AG178" s="2"/>
    </row>
    <row r="179" customFormat="false" ht="15.75" hidden="false" customHeight="true" outlineLevel="0" collapsed="false">
      <c r="A179" s="2"/>
      <c r="E179" s="2"/>
      <c r="V179" s="2"/>
      <c r="W179" s="2"/>
      <c r="AC179" s="2"/>
      <c r="AD179" s="2"/>
      <c r="AE179" s="2"/>
      <c r="AG179" s="2"/>
    </row>
    <row r="180" customFormat="false" ht="15.75" hidden="false" customHeight="true" outlineLevel="0" collapsed="false">
      <c r="A180" s="2"/>
      <c r="E180" s="2"/>
      <c r="V180" s="2"/>
      <c r="W180" s="2"/>
      <c r="AC180" s="2"/>
      <c r="AD180" s="2"/>
      <c r="AE180" s="2"/>
      <c r="AG180" s="2"/>
    </row>
    <row r="181" customFormat="false" ht="15.75" hidden="false" customHeight="true" outlineLevel="0" collapsed="false">
      <c r="A181" s="2"/>
      <c r="E181" s="2"/>
      <c r="V181" s="2"/>
      <c r="W181" s="2"/>
      <c r="AC181" s="2"/>
      <c r="AD181" s="2"/>
      <c r="AE181" s="2"/>
      <c r="AG181" s="2"/>
    </row>
    <row r="182" customFormat="false" ht="15.75" hidden="false" customHeight="true" outlineLevel="0" collapsed="false">
      <c r="A182" s="2"/>
      <c r="E182" s="2"/>
      <c r="V182" s="2"/>
      <c r="W182" s="2"/>
      <c r="AC182" s="2"/>
      <c r="AD182" s="2"/>
      <c r="AE182" s="2"/>
      <c r="AG182" s="2"/>
    </row>
    <row r="183" customFormat="false" ht="15.75" hidden="false" customHeight="true" outlineLevel="0" collapsed="false">
      <c r="A183" s="2"/>
      <c r="E183" s="2"/>
      <c r="V183" s="2"/>
      <c r="W183" s="2"/>
      <c r="AC183" s="2"/>
      <c r="AD183" s="2"/>
      <c r="AE183" s="2"/>
      <c r="AG183" s="2"/>
    </row>
    <row r="184" customFormat="false" ht="15.75" hidden="false" customHeight="true" outlineLevel="0" collapsed="false">
      <c r="A184" s="2"/>
      <c r="E184" s="2"/>
      <c r="V184" s="2"/>
      <c r="W184" s="2"/>
      <c r="AC184" s="2"/>
      <c r="AD184" s="2"/>
      <c r="AE184" s="2"/>
      <c r="AG184" s="2"/>
    </row>
    <row r="185" customFormat="false" ht="15.75" hidden="false" customHeight="true" outlineLevel="0" collapsed="false">
      <c r="A185" s="2"/>
      <c r="E185" s="2"/>
      <c r="V185" s="2"/>
      <c r="W185" s="2"/>
      <c r="AC185" s="2"/>
      <c r="AD185" s="2"/>
      <c r="AE185" s="2"/>
      <c r="AG185" s="2"/>
    </row>
    <row r="186" customFormat="false" ht="15.75" hidden="false" customHeight="true" outlineLevel="0" collapsed="false">
      <c r="A186" s="2"/>
      <c r="E186" s="2"/>
      <c r="V186" s="2"/>
      <c r="W186" s="2"/>
      <c r="AC186" s="2"/>
      <c r="AD186" s="2"/>
      <c r="AE186" s="2"/>
      <c r="AG186" s="2"/>
    </row>
    <row r="187" customFormat="false" ht="15.75" hidden="false" customHeight="true" outlineLevel="0" collapsed="false">
      <c r="A187" s="2"/>
      <c r="E187" s="2"/>
      <c r="V187" s="2"/>
      <c r="W187" s="2"/>
      <c r="AC187" s="2"/>
      <c r="AD187" s="2"/>
      <c r="AE187" s="2"/>
      <c r="AG187" s="2"/>
    </row>
    <row r="188" customFormat="false" ht="15.75" hidden="false" customHeight="true" outlineLevel="0" collapsed="false">
      <c r="A188" s="2"/>
      <c r="E188" s="2"/>
      <c r="V188" s="2"/>
      <c r="W188" s="2"/>
      <c r="AC188" s="2"/>
      <c r="AD188" s="2"/>
      <c r="AE188" s="2"/>
      <c r="AG188" s="2"/>
    </row>
    <row r="189" customFormat="false" ht="15.75" hidden="false" customHeight="true" outlineLevel="0" collapsed="false">
      <c r="A189" s="2"/>
      <c r="E189" s="2"/>
      <c r="V189" s="2"/>
      <c r="W189" s="2"/>
      <c r="AC189" s="2"/>
      <c r="AD189" s="2"/>
      <c r="AE189" s="2"/>
      <c r="AG189" s="2"/>
    </row>
    <row r="190" customFormat="false" ht="15.75" hidden="false" customHeight="true" outlineLevel="0" collapsed="false">
      <c r="A190" s="2"/>
      <c r="E190" s="2"/>
      <c r="V190" s="2"/>
      <c r="W190" s="2"/>
      <c r="AC190" s="2"/>
      <c r="AD190" s="2"/>
      <c r="AE190" s="2"/>
      <c r="AG190" s="2"/>
    </row>
    <row r="191" customFormat="false" ht="15.75" hidden="false" customHeight="true" outlineLevel="0" collapsed="false">
      <c r="A191" s="2"/>
      <c r="E191" s="2"/>
      <c r="V191" s="2"/>
      <c r="W191" s="2"/>
      <c r="AC191" s="2"/>
      <c r="AD191" s="2"/>
      <c r="AE191" s="2"/>
      <c r="AG191" s="2"/>
    </row>
    <row r="192" customFormat="false" ht="15.75" hidden="false" customHeight="true" outlineLevel="0" collapsed="false">
      <c r="A192" s="2"/>
      <c r="E192" s="2"/>
      <c r="V192" s="2"/>
      <c r="W192" s="2"/>
      <c r="AC192" s="2"/>
      <c r="AD192" s="2"/>
      <c r="AE192" s="2"/>
      <c r="AG192" s="2"/>
    </row>
    <row r="193" customFormat="false" ht="15.75" hidden="false" customHeight="true" outlineLevel="0" collapsed="false">
      <c r="A193" s="2"/>
      <c r="E193" s="2"/>
      <c r="V193" s="2"/>
      <c r="W193" s="2"/>
      <c r="AC193" s="2"/>
      <c r="AD193" s="2"/>
      <c r="AE193" s="2"/>
      <c r="AG193" s="2"/>
    </row>
    <row r="194" customFormat="false" ht="15.75" hidden="false" customHeight="true" outlineLevel="0" collapsed="false">
      <c r="A194" s="2"/>
      <c r="E194" s="2"/>
      <c r="V194" s="2"/>
      <c r="W194" s="2"/>
      <c r="AC194" s="2"/>
      <c r="AD194" s="2"/>
      <c r="AE194" s="2"/>
      <c r="AG194" s="2"/>
    </row>
    <row r="195" customFormat="false" ht="15.75" hidden="false" customHeight="true" outlineLevel="0" collapsed="false">
      <c r="A195" s="2"/>
      <c r="E195" s="2"/>
      <c r="V195" s="2"/>
      <c r="W195" s="2"/>
      <c r="AC195" s="2"/>
      <c r="AD195" s="2"/>
      <c r="AE195" s="2"/>
      <c r="AG195" s="2"/>
    </row>
    <row r="196" customFormat="false" ht="15.75" hidden="false" customHeight="true" outlineLevel="0" collapsed="false">
      <c r="A196" s="2"/>
      <c r="E196" s="2"/>
      <c r="V196" s="2"/>
      <c r="W196" s="2"/>
      <c r="AC196" s="2"/>
      <c r="AD196" s="2"/>
      <c r="AE196" s="2"/>
      <c r="AG196" s="2"/>
    </row>
    <row r="197" customFormat="false" ht="15.75" hidden="false" customHeight="true" outlineLevel="0" collapsed="false">
      <c r="A197" s="2"/>
      <c r="E197" s="2"/>
      <c r="V197" s="2"/>
      <c r="W197" s="2"/>
      <c r="AC197" s="2"/>
      <c r="AD197" s="2"/>
      <c r="AE197" s="2"/>
      <c r="AG197" s="2"/>
    </row>
    <row r="198" customFormat="false" ht="15.75" hidden="false" customHeight="true" outlineLevel="0" collapsed="false">
      <c r="A198" s="2"/>
      <c r="E198" s="2"/>
      <c r="V198" s="2"/>
      <c r="W198" s="2"/>
      <c r="AC198" s="2"/>
      <c r="AD198" s="2"/>
      <c r="AE198" s="2"/>
      <c r="AG198" s="2"/>
    </row>
    <row r="199" customFormat="false" ht="15.75" hidden="false" customHeight="true" outlineLevel="0" collapsed="false">
      <c r="A199" s="2"/>
      <c r="E199" s="2"/>
      <c r="V199" s="2"/>
      <c r="W199" s="2"/>
      <c r="AC199" s="2"/>
      <c r="AD199" s="2"/>
      <c r="AE199" s="2"/>
      <c r="AG199" s="2"/>
    </row>
    <row r="200" customFormat="false" ht="15.75" hidden="false" customHeight="true" outlineLevel="0" collapsed="false">
      <c r="A200" s="2"/>
      <c r="E200" s="2"/>
      <c r="V200" s="2"/>
      <c r="W200" s="2"/>
      <c r="AC200" s="2"/>
      <c r="AD200" s="2"/>
      <c r="AE200" s="2"/>
      <c r="AG200" s="2"/>
    </row>
    <row r="201" customFormat="false" ht="15.75" hidden="false" customHeight="true" outlineLevel="0" collapsed="false">
      <c r="A201" s="2"/>
      <c r="E201" s="2"/>
      <c r="V201" s="2"/>
      <c r="W201" s="2"/>
      <c r="AC201" s="2"/>
      <c r="AD201" s="2"/>
      <c r="AE201" s="2"/>
      <c r="AG201" s="2"/>
    </row>
    <row r="202" customFormat="false" ht="15.75" hidden="false" customHeight="true" outlineLevel="0" collapsed="false">
      <c r="A202" s="2"/>
      <c r="E202" s="2"/>
      <c r="V202" s="2"/>
      <c r="W202" s="2"/>
      <c r="AC202" s="2"/>
      <c r="AD202" s="2"/>
      <c r="AE202" s="2"/>
      <c r="AG202" s="2"/>
    </row>
    <row r="203" customFormat="false" ht="15.75" hidden="false" customHeight="true" outlineLevel="0" collapsed="false">
      <c r="A203" s="2"/>
      <c r="E203" s="2"/>
      <c r="V203" s="2"/>
      <c r="W203" s="2"/>
      <c r="AC203" s="2"/>
      <c r="AD203" s="2"/>
      <c r="AE203" s="2"/>
      <c r="AG203" s="2"/>
    </row>
    <row r="204" customFormat="false" ht="15.75" hidden="false" customHeight="true" outlineLevel="0" collapsed="false">
      <c r="A204" s="2"/>
      <c r="E204" s="2"/>
      <c r="V204" s="2"/>
      <c r="W204" s="2"/>
      <c r="AC204" s="2"/>
      <c r="AD204" s="2"/>
      <c r="AE204" s="2"/>
      <c r="AG204" s="2"/>
    </row>
    <row r="205" customFormat="false" ht="15.75" hidden="false" customHeight="true" outlineLevel="0" collapsed="false">
      <c r="A205" s="2"/>
      <c r="E205" s="2"/>
      <c r="V205" s="2"/>
      <c r="W205" s="2"/>
      <c r="AC205" s="2"/>
      <c r="AD205" s="2"/>
      <c r="AE205" s="2"/>
      <c r="AG205" s="2"/>
    </row>
    <row r="206" customFormat="false" ht="15.75" hidden="false" customHeight="true" outlineLevel="0" collapsed="false">
      <c r="A206" s="2"/>
      <c r="E206" s="2"/>
      <c r="V206" s="2"/>
      <c r="W206" s="2"/>
      <c r="AC206" s="2"/>
      <c r="AD206" s="2"/>
      <c r="AE206" s="2"/>
      <c r="AG206" s="2"/>
    </row>
    <row r="207" customFormat="false" ht="15.75" hidden="false" customHeight="true" outlineLevel="0" collapsed="false">
      <c r="A207" s="2"/>
      <c r="E207" s="2"/>
      <c r="V207" s="2"/>
      <c r="W207" s="2"/>
      <c r="AC207" s="2"/>
      <c r="AD207" s="2"/>
      <c r="AE207" s="2"/>
      <c r="AG207" s="2"/>
    </row>
    <row r="208" customFormat="false" ht="15.75" hidden="false" customHeight="true" outlineLevel="0" collapsed="false">
      <c r="A208" s="2"/>
      <c r="E208" s="2"/>
      <c r="V208" s="2"/>
      <c r="W208" s="2"/>
      <c r="AC208" s="2"/>
      <c r="AD208" s="2"/>
      <c r="AE208" s="2"/>
      <c r="AG208" s="2"/>
    </row>
    <row r="209" customFormat="false" ht="15.75" hidden="false" customHeight="true" outlineLevel="0" collapsed="false">
      <c r="A209" s="2"/>
      <c r="E209" s="2"/>
      <c r="V209" s="2"/>
      <c r="W209" s="2"/>
      <c r="AC209" s="2"/>
      <c r="AD209" s="2"/>
      <c r="AE209" s="2"/>
      <c r="AG209" s="2"/>
    </row>
    <row r="210" customFormat="false" ht="15.75" hidden="false" customHeight="true" outlineLevel="0" collapsed="false">
      <c r="A210" s="2"/>
      <c r="E210" s="2"/>
      <c r="V210" s="2"/>
      <c r="W210" s="2"/>
      <c r="AC210" s="2"/>
      <c r="AD210" s="2"/>
      <c r="AE210" s="2"/>
      <c r="AG210" s="2"/>
    </row>
    <row r="211" customFormat="false" ht="15.75" hidden="false" customHeight="true" outlineLevel="0" collapsed="false">
      <c r="A211" s="2"/>
      <c r="E211" s="2"/>
      <c r="V211" s="2"/>
      <c r="W211" s="2"/>
      <c r="AC211" s="2"/>
      <c r="AD211" s="2"/>
      <c r="AE211" s="2"/>
      <c r="AG211" s="2"/>
    </row>
    <row r="212" customFormat="false" ht="15.75" hidden="false" customHeight="true" outlineLevel="0" collapsed="false">
      <c r="A212" s="2"/>
      <c r="E212" s="2"/>
      <c r="V212" s="2"/>
      <c r="W212" s="2"/>
      <c r="AC212" s="2"/>
      <c r="AD212" s="2"/>
      <c r="AE212" s="2"/>
      <c r="AG212" s="2"/>
    </row>
    <row r="213" customFormat="false" ht="15.75" hidden="false" customHeight="true" outlineLevel="0" collapsed="false">
      <c r="A213" s="2"/>
      <c r="E213" s="2"/>
      <c r="V213" s="2"/>
      <c r="W213" s="2"/>
      <c r="AC213" s="2"/>
      <c r="AD213" s="2"/>
      <c r="AE213" s="2"/>
      <c r="AG213" s="2"/>
    </row>
    <row r="214" customFormat="false" ht="15.75" hidden="false" customHeight="true" outlineLevel="0" collapsed="false">
      <c r="A214" s="2"/>
      <c r="E214" s="2"/>
      <c r="V214" s="2"/>
      <c r="W214" s="2"/>
      <c r="AC214" s="2"/>
      <c r="AD214" s="2"/>
      <c r="AE214" s="2"/>
      <c r="AG214" s="2"/>
    </row>
    <row r="215" customFormat="false" ht="15.75" hidden="false" customHeight="true" outlineLevel="0" collapsed="false">
      <c r="A215" s="2"/>
      <c r="E215" s="2"/>
      <c r="V215" s="2"/>
      <c r="W215" s="2"/>
      <c r="AC215" s="2"/>
      <c r="AD215" s="2"/>
      <c r="AE215" s="2"/>
      <c r="AG215" s="2"/>
    </row>
    <row r="216" customFormat="false" ht="15.75" hidden="false" customHeight="true" outlineLevel="0" collapsed="false">
      <c r="A216" s="2"/>
      <c r="E216" s="2"/>
      <c r="V216" s="2"/>
      <c r="W216" s="2"/>
      <c r="AC216" s="2"/>
      <c r="AD216" s="2"/>
      <c r="AE216" s="2"/>
      <c r="AG216" s="2"/>
    </row>
    <row r="217" customFormat="false" ht="15.75" hidden="false" customHeight="true" outlineLevel="0" collapsed="false">
      <c r="A217" s="2"/>
      <c r="E217" s="2"/>
      <c r="V217" s="2"/>
      <c r="W217" s="2"/>
      <c r="AC217" s="2"/>
      <c r="AD217" s="2"/>
      <c r="AE217" s="2"/>
      <c r="AG217" s="2"/>
    </row>
    <row r="218" customFormat="false" ht="15.75" hidden="false" customHeight="true" outlineLevel="0" collapsed="false">
      <c r="A218" s="2"/>
      <c r="E218" s="2"/>
      <c r="V218" s="2"/>
      <c r="W218" s="2"/>
      <c r="AC218" s="2"/>
      <c r="AD218" s="2"/>
      <c r="AE218" s="2"/>
      <c r="AG218" s="2"/>
    </row>
    <row r="219" customFormat="false" ht="15.75" hidden="false" customHeight="true" outlineLevel="0" collapsed="false">
      <c r="A219" s="2"/>
      <c r="E219" s="2"/>
      <c r="V219" s="2"/>
      <c r="W219" s="2"/>
      <c r="AC219" s="2"/>
      <c r="AD219" s="2"/>
      <c r="AE219" s="2"/>
      <c r="AG219" s="2"/>
    </row>
    <row r="220" customFormat="false" ht="15.75" hidden="false" customHeight="true" outlineLevel="0" collapsed="false">
      <c r="A220" s="2"/>
      <c r="E220" s="2"/>
      <c r="V220" s="2"/>
      <c r="W220" s="2"/>
      <c r="AC220" s="2"/>
      <c r="AD220" s="2"/>
      <c r="AE220" s="2"/>
      <c r="AG220" s="2"/>
    </row>
    <row r="221" customFormat="false" ht="15.75" hidden="false" customHeight="true" outlineLevel="0" collapsed="false">
      <c r="A221" s="2"/>
      <c r="E221" s="2"/>
      <c r="V221" s="2"/>
      <c r="W221" s="2"/>
      <c r="AC221" s="2"/>
      <c r="AD221" s="2"/>
      <c r="AE221" s="2"/>
      <c r="AG221" s="2"/>
    </row>
    <row r="222" customFormat="false" ht="15.75" hidden="false" customHeight="true" outlineLevel="0" collapsed="false">
      <c r="A222" s="2"/>
      <c r="E222" s="2"/>
      <c r="V222" s="2"/>
      <c r="W222" s="2"/>
      <c r="AC222" s="2"/>
      <c r="AD222" s="2"/>
      <c r="AE222" s="2"/>
      <c r="AG222" s="2"/>
    </row>
    <row r="223" customFormat="false" ht="15.75" hidden="false" customHeight="true" outlineLevel="0" collapsed="false">
      <c r="A223" s="2"/>
      <c r="E223" s="2"/>
      <c r="V223" s="2"/>
      <c r="W223" s="2"/>
      <c r="AC223" s="2"/>
      <c r="AD223" s="2"/>
      <c r="AE223" s="2"/>
      <c r="AG223" s="2"/>
    </row>
    <row r="224" customFormat="false" ht="15.75" hidden="false" customHeight="true" outlineLevel="0" collapsed="false">
      <c r="A224" s="2"/>
      <c r="E224" s="2"/>
      <c r="V224" s="2"/>
      <c r="W224" s="2"/>
      <c r="AC224" s="2"/>
      <c r="AD224" s="2"/>
      <c r="AE224" s="2"/>
      <c r="AG224" s="2"/>
    </row>
    <row r="225" customFormat="false" ht="15.75" hidden="false" customHeight="true" outlineLevel="0" collapsed="false">
      <c r="A225" s="2"/>
      <c r="E225" s="2"/>
      <c r="V225" s="2"/>
      <c r="W225" s="2"/>
      <c r="AC225" s="2"/>
      <c r="AD225" s="2"/>
      <c r="AE225" s="2"/>
      <c r="AG225" s="2"/>
    </row>
    <row r="226" customFormat="false" ht="15.75" hidden="false" customHeight="true" outlineLevel="0" collapsed="false">
      <c r="A226" s="2"/>
      <c r="E226" s="2"/>
      <c r="V226" s="2"/>
      <c r="W226" s="2"/>
      <c r="AC226" s="2"/>
      <c r="AD226" s="2"/>
      <c r="AE226" s="2"/>
      <c r="AG226" s="2"/>
    </row>
    <row r="227" customFormat="false" ht="15.75" hidden="false" customHeight="true" outlineLevel="0" collapsed="false">
      <c r="A227" s="2"/>
      <c r="E227" s="2"/>
      <c r="V227" s="2"/>
      <c r="W227" s="2"/>
      <c r="AC227" s="2"/>
      <c r="AD227" s="2"/>
      <c r="AE227" s="2"/>
      <c r="AG227" s="2"/>
    </row>
    <row r="228" customFormat="false" ht="15.75" hidden="false" customHeight="true" outlineLevel="0" collapsed="false">
      <c r="A228" s="2"/>
      <c r="E228" s="2"/>
      <c r="V228" s="2"/>
      <c r="W228" s="2"/>
      <c r="AC228" s="2"/>
      <c r="AD228" s="2"/>
      <c r="AE228" s="2"/>
      <c r="AG228" s="2"/>
    </row>
    <row r="229" customFormat="false" ht="15.75" hidden="false" customHeight="true" outlineLevel="0" collapsed="false">
      <c r="A229" s="2"/>
      <c r="E229" s="2"/>
      <c r="V229" s="2"/>
      <c r="W229" s="2"/>
      <c r="AC229" s="2"/>
      <c r="AD229" s="2"/>
      <c r="AE229" s="2"/>
      <c r="AG229" s="2"/>
    </row>
    <row r="230" customFormat="false" ht="15.75" hidden="false" customHeight="true" outlineLevel="0" collapsed="false">
      <c r="A230" s="2"/>
      <c r="E230" s="2"/>
      <c r="V230" s="2"/>
      <c r="W230" s="2"/>
      <c r="AC230" s="2"/>
      <c r="AD230" s="2"/>
      <c r="AE230" s="2"/>
      <c r="AG230" s="2"/>
    </row>
    <row r="231" customFormat="false" ht="15.75" hidden="false" customHeight="true" outlineLevel="0" collapsed="false">
      <c r="A231" s="2"/>
      <c r="E231" s="2"/>
      <c r="V231" s="2"/>
      <c r="W231" s="2"/>
      <c r="AC231" s="2"/>
      <c r="AD231" s="2"/>
      <c r="AE231" s="2"/>
      <c r="AG231" s="2"/>
    </row>
    <row r="232" customFormat="false" ht="15.75" hidden="false" customHeight="true" outlineLevel="0" collapsed="false">
      <c r="A232" s="2"/>
      <c r="E232" s="2"/>
      <c r="V232" s="2"/>
      <c r="W232" s="2"/>
      <c r="AC232" s="2"/>
      <c r="AD232" s="2"/>
      <c r="AE232" s="2"/>
      <c r="AG232" s="2"/>
    </row>
    <row r="233" customFormat="false" ht="15.75" hidden="false" customHeight="true" outlineLevel="0" collapsed="false">
      <c r="A233" s="2"/>
      <c r="E233" s="2"/>
      <c r="V233" s="2"/>
      <c r="W233" s="2"/>
      <c r="AC233" s="2"/>
      <c r="AD233" s="2"/>
      <c r="AE233" s="2"/>
      <c r="AG233" s="2"/>
    </row>
    <row r="234" customFormat="false" ht="15.75" hidden="false" customHeight="true" outlineLevel="0" collapsed="false">
      <c r="A234" s="2"/>
      <c r="E234" s="2"/>
      <c r="V234" s="2"/>
      <c r="W234" s="2"/>
      <c r="AC234" s="2"/>
      <c r="AD234" s="2"/>
      <c r="AE234" s="2"/>
      <c r="AG234" s="2"/>
    </row>
    <row r="235" customFormat="false" ht="15.75" hidden="false" customHeight="true" outlineLevel="0" collapsed="false">
      <c r="A235" s="2"/>
      <c r="E235" s="2"/>
      <c r="V235" s="2"/>
      <c r="W235" s="2"/>
      <c r="AC235" s="2"/>
      <c r="AD235" s="2"/>
      <c r="AE235" s="2"/>
      <c r="AG235" s="2"/>
    </row>
    <row r="236" customFormat="false" ht="15.75" hidden="false" customHeight="true" outlineLevel="0" collapsed="false">
      <c r="A236" s="2"/>
      <c r="E236" s="2"/>
      <c r="V236" s="2"/>
      <c r="W236" s="2"/>
      <c r="AC236" s="2"/>
      <c r="AD236" s="2"/>
      <c r="AE236" s="2"/>
      <c r="AG236" s="2"/>
    </row>
    <row r="237" customFormat="false" ht="15.75" hidden="false" customHeight="true" outlineLevel="0" collapsed="false">
      <c r="A237" s="2"/>
      <c r="E237" s="2"/>
      <c r="V237" s="2"/>
      <c r="W237" s="2"/>
      <c r="AC237" s="2"/>
      <c r="AD237" s="2"/>
      <c r="AE237" s="2"/>
      <c r="AG237" s="2"/>
    </row>
    <row r="238" customFormat="false" ht="15.75" hidden="false" customHeight="true" outlineLevel="0" collapsed="false">
      <c r="A238" s="2"/>
      <c r="E238" s="2"/>
      <c r="V238" s="2"/>
      <c r="W238" s="2"/>
      <c r="AC238" s="2"/>
      <c r="AD238" s="2"/>
      <c r="AE238" s="2"/>
      <c r="AG238" s="2"/>
    </row>
    <row r="239" customFormat="false" ht="15.75" hidden="false" customHeight="true" outlineLevel="0" collapsed="false">
      <c r="A239" s="2"/>
      <c r="E239" s="2"/>
      <c r="V239" s="2"/>
      <c r="W239" s="2"/>
      <c r="AC239" s="2"/>
      <c r="AD239" s="2"/>
      <c r="AE239" s="2"/>
      <c r="AG239" s="2"/>
    </row>
    <row r="240" customFormat="false" ht="15.75" hidden="false" customHeight="true" outlineLevel="0" collapsed="false">
      <c r="A240" s="2"/>
      <c r="E240" s="2"/>
      <c r="V240" s="2"/>
      <c r="W240" s="2"/>
      <c r="AC240" s="2"/>
      <c r="AD240" s="2"/>
      <c r="AE240" s="2"/>
      <c r="AG240" s="2"/>
    </row>
    <row r="241" customFormat="false" ht="15.75" hidden="false" customHeight="true" outlineLevel="0" collapsed="false">
      <c r="A241" s="2"/>
      <c r="E241" s="2"/>
      <c r="V241" s="2"/>
      <c r="W241" s="2"/>
      <c r="AC241" s="2"/>
      <c r="AD241" s="2"/>
      <c r="AE241" s="2"/>
      <c r="AG241" s="2"/>
    </row>
    <row r="242" customFormat="false" ht="15.75" hidden="false" customHeight="true" outlineLevel="0" collapsed="false">
      <c r="A242" s="2"/>
      <c r="E242" s="2"/>
      <c r="V242" s="2"/>
      <c r="W242" s="2"/>
      <c r="AC242" s="2"/>
      <c r="AD242" s="2"/>
      <c r="AE242" s="2"/>
      <c r="AG242" s="2"/>
    </row>
    <row r="243" customFormat="false" ht="15.75" hidden="false" customHeight="true" outlineLevel="0" collapsed="false">
      <c r="A243" s="2"/>
      <c r="E243" s="2"/>
      <c r="V243" s="2"/>
      <c r="W243" s="2"/>
      <c r="AC243" s="2"/>
      <c r="AD243" s="2"/>
      <c r="AE243" s="2"/>
      <c r="AG243" s="2"/>
    </row>
    <row r="244" customFormat="false" ht="15.75" hidden="false" customHeight="true" outlineLevel="0" collapsed="false">
      <c r="A244" s="2"/>
      <c r="E244" s="2"/>
      <c r="V244" s="2"/>
      <c r="W244" s="2"/>
      <c r="AC244" s="2"/>
      <c r="AD244" s="2"/>
      <c r="AE244" s="2"/>
      <c r="AG244" s="2"/>
    </row>
    <row r="245" customFormat="false" ht="15.75" hidden="false" customHeight="true" outlineLevel="0" collapsed="false">
      <c r="A245" s="2"/>
      <c r="E245" s="2"/>
      <c r="V245" s="2"/>
      <c r="W245" s="2"/>
      <c r="AC245" s="2"/>
      <c r="AD245" s="2"/>
      <c r="AE245" s="2"/>
      <c r="AG245" s="2"/>
    </row>
    <row r="246" customFormat="false" ht="15.75" hidden="false" customHeight="true" outlineLevel="0" collapsed="false">
      <c r="A246" s="2"/>
      <c r="E246" s="2"/>
      <c r="V246" s="2"/>
      <c r="W246" s="2"/>
      <c r="AC246" s="2"/>
      <c r="AD246" s="2"/>
      <c r="AE246" s="2"/>
      <c r="AG246" s="2"/>
    </row>
    <row r="247" customFormat="false" ht="15.75" hidden="false" customHeight="true" outlineLevel="0" collapsed="false">
      <c r="A247" s="2"/>
      <c r="E247" s="2"/>
      <c r="V247" s="2"/>
      <c r="W247" s="2"/>
      <c r="AC247" s="2"/>
      <c r="AD247" s="2"/>
      <c r="AE247" s="2"/>
      <c r="AG247" s="2"/>
    </row>
    <row r="248" customFormat="false" ht="15.75" hidden="false" customHeight="true" outlineLevel="0" collapsed="false">
      <c r="A248" s="2"/>
      <c r="E248" s="2"/>
      <c r="V248" s="2"/>
      <c r="W248" s="2"/>
      <c r="AC248" s="2"/>
      <c r="AD248" s="2"/>
      <c r="AE248" s="2"/>
      <c r="AG248" s="2"/>
    </row>
    <row r="249" customFormat="false" ht="15.75" hidden="false" customHeight="true" outlineLevel="0" collapsed="false">
      <c r="A249" s="2"/>
      <c r="E249" s="2"/>
      <c r="V249" s="2"/>
      <c r="W249" s="2"/>
      <c r="AC249" s="2"/>
      <c r="AD249" s="2"/>
      <c r="AE249" s="2"/>
      <c r="AG249" s="2"/>
    </row>
    <row r="250" customFormat="false" ht="15.75" hidden="false" customHeight="true" outlineLevel="0" collapsed="false">
      <c r="A250" s="2"/>
      <c r="E250" s="2"/>
      <c r="V250" s="2"/>
      <c r="W250" s="2"/>
      <c r="AC250" s="2"/>
      <c r="AD250" s="2"/>
      <c r="AE250" s="2"/>
      <c r="AG250" s="2"/>
    </row>
    <row r="251" customFormat="false" ht="15.75" hidden="false" customHeight="true" outlineLevel="0" collapsed="false">
      <c r="A251" s="2"/>
      <c r="E251" s="2"/>
      <c r="V251" s="2"/>
      <c r="W251" s="2"/>
      <c r="AC251" s="2"/>
      <c r="AD251" s="2"/>
      <c r="AE251" s="2"/>
      <c r="AG251" s="2"/>
    </row>
    <row r="252" customFormat="false" ht="15.75" hidden="false" customHeight="true" outlineLevel="0" collapsed="false">
      <c r="A252" s="2"/>
      <c r="E252" s="2"/>
      <c r="V252" s="2"/>
      <c r="W252" s="2"/>
      <c r="AC252" s="2"/>
      <c r="AD252" s="2"/>
      <c r="AE252" s="2"/>
      <c r="AG252" s="2"/>
    </row>
    <row r="253" customFormat="false" ht="15.75" hidden="false" customHeight="true" outlineLevel="0" collapsed="false">
      <c r="A253" s="2"/>
      <c r="E253" s="2"/>
      <c r="V253" s="2"/>
      <c r="W253" s="2"/>
      <c r="AC253" s="2"/>
      <c r="AD253" s="2"/>
      <c r="AE253" s="2"/>
      <c r="AG253" s="2"/>
    </row>
    <row r="254" customFormat="false" ht="15.75" hidden="false" customHeight="true" outlineLevel="0" collapsed="false">
      <c r="A254" s="2"/>
      <c r="E254" s="2"/>
      <c r="V254" s="2"/>
      <c r="W254" s="2"/>
      <c r="AC254" s="2"/>
      <c r="AD254" s="2"/>
      <c r="AE254" s="2"/>
      <c r="AG254" s="2"/>
    </row>
    <row r="255" customFormat="false" ht="15.75" hidden="false" customHeight="true" outlineLevel="0" collapsed="false">
      <c r="A255" s="2"/>
      <c r="E255" s="2"/>
      <c r="V255" s="2"/>
      <c r="W255" s="2"/>
      <c r="AC255" s="2"/>
      <c r="AD255" s="2"/>
      <c r="AE255" s="2"/>
      <c r="AG255" s="2"/>
    </row>
    <row r="256" customFormat="false" ht="15.75" hidden="false" customHeight="true" outlineLevel="0" collapsed="false">
      <c r="A256" s="2"/>
      <c r="E256" s="2"/>
      <c r="V256" s="2"/>
      <c r="W256" s="2"/>
      <c r="AC256" s="2"/>
      <c r="AD256" s="2"/>
      <c r="AE256" s="2"/>
      <c r="AG256" s="2"/>
    </row>
    <row r="257" customFormat="false" ht="15.75" hidden="false" customHeight="true" outlineLevel="0" collapsed="false">
      <c r="A257" s="2"/>
      <c r="E257" s="2"/>
      <c r="V257" s="2"/>
      <c r="W257" s="2"/>
      <c r="AC257" s="2"/>
      <c r="AD257" s="2"/>
      <c r="AE257" s="2"/>
      <c r="AG257" s="2"/>
    </row>
    <row r="258" customFormat="false" ht="15.75" hidden="false" customHeight="true" outlineLevel="0" collapsed="false">
      <c r="A258" s="2"/>
      <c r="E258" s="2"/>
      <c r="V258" s="2"/>
      <c r="W258" s="2"/>
      <c r="AC258" s="2"/>
      <c r="AD258" s="2"/>
      <c r="AE258" s="2"/>
      <c r="AG258" s="2"/>
    </row>
    <row r="259" customFormat="false" ht="15.75" hidden="false" customHeight="true" outlineLevel="0" collapsed="false">
      <c r="A259" s="2"/>
      <c r="E259" s="2"/>
      <c r="V259" s="2"/>
      <c r="W259" s="2"/>
      <c r="AC259" s="2"/>
      <c r="AD259" s="2"/>
      <c r="AE259" s="2"/>
      <c r="AG259" s="2"/>
    </row>
    <row r="260" customFormat="false" ht="15.75" hidden="false" customHeight="true" outlineLevel="0" collapsed="false">
      <c r="A260" s="2"/>
      <c r="E260" s="2"/>
      <c r="V260" s="2"/>
      <c r="W260" s="2"/>
      <c r="AC260" s="2"/>
      <c r="AD260" s="2"/>
      <c r="AE260" s="2"/>
      <c r="AG260" s="2"/>
    </row>
    <row r="261" customFormat="false" ht="15.75" hidden="false" customHeight="true" outlineLevel="0" collapsed="false">
      <c r="A261" s="2"/>
      <c r="E261" s="2"/>
      <c r="V261" s="2"/>
      <c r="W261" s="2"/>
      <c r="AC261" s="2"/>
      <c r="AD261" s="2"/>
      <c r="AE261" s="2"/>
      <c r="AG261" s="2"/>
    </row>
    <row r="262" customFormat="false" ht="15.75" hidden="false" customHeight="true" outlineLevel="0" collapsed="false">
      <c r="A262" s="2"/>
      <c r="E262" s="2"/>
      <c r="V262" s="2"/>
      <c r="W262" s="2"/>
      <c r="AC262" s="2"/>
      <c r="AD262" s="2"/>
      <c r="AE262" s="2"/>
      <c r="AG262" s="2"/>
    </row>
    <row r="263" customFormat="false" ht="15.75" hidden="false" customHeight="true" outlineLevel="0" collapsed="false">
      <c r="A263" s="2"/>
      <c r="E263" s="2"/>
      <c r="V263" s="2"/>
      <c r="W263" s="2"/>
      <c r="AC263" s="2"/>
      <c r="AD263" s="2"/>
      <c r="AE263" s="2"/>
      <c r="AG263" s="2"/>
    </row>
    <row r="264" customFormat="false" ht="15.75" hidden="false" customHeight="true" outlineLevel="0" collapsed="false">
      <c r="A264" s="2"/>
      <c r="E264" s="2"/>
      <c r="V264" s="2"/>
      <c r="W264" s="2"/>
      <c r="AC264" s="2"/>
      <c r="AD264" s="2"/>
      <c r="AE264" s="2"/>
      <c r="AG264" s="2"/>
    </row>
    <row r="265" customFormat="false" ht="15.75" hidden="false" customHeight="true" outlineLevel="0" collapsed="false">
      <c r="A265" s="2"/>
      <c r="E265" s="2"/>
      <c r="V265" s="2"/>
      <c r="W265" s="2"/>
      <c r="AC265" s="2"/>
      <c r="AD265" s="2"/>
      <c r="AE265" s="2"/>
      <c r="AG265" s="2"/>
    </row>
    <row r="266" customFormat="false" ht="15.75" hidden="false" customHeight="true" outlineLevel="0" collapsed="false">
      <c r="A266" s="2"/>
      <c r="E266" s="2"/>
      <c r="V266" s="2"/>
      <c r="W266" s="2"/>
      <c r="AC266" s="2"/>
      <c r="AD266" s="2"/>
      <c r="AE266" s="2"/>
      <c r="AG266" s="2"/>
    </row>
    <row r="267" customFormat="false" ht="15.75" hidden="false" customHeight="true" outlineLevel="0" collapsed="false">
      <c r="A267" s="2"/>
      <c r="E267" s="2"/>
      <c r="V267" s="2"/>
      <c r="W267" s="2"/>
      <c r="AC267" s="2"/>
      <c r="AD267" s="2"/>
      <c r="AE267" s="2"/>
      <c r="AG267" s="2"/>
    </row>
    <row r="268" customFormat="false" ht="15.75" hidden="false" customHeight="true" outlineLevel="0" collapsed="false">
      <c r="A268" s="2"/>
      <c r="E268" s="2"/>
      <c r="V268" s="2"/>
      <c r="W268" s="2"/>
      <c r="AC268" s="2"/>
      <c r="AD268" s="2"/>
      <c r="AE268" s="2"/>
      <c r="AG268" s="2"/>
    </row>
    <row r="269" customFormat="false" ht="15.75" hidden="false" customHeight="true" outlineLevel="0" collapsed="false">
      <c r="A269" s="2"/>
      <c r="E269" s="2"/>
      <c r="V269" s="2"/>
      <c r="W269" s="2"/>
      <c r="AC269" s="2"/>
      <c r="AD269" s="2"/>
      <c r="AE269" s="2"/>
      <c r="AG269" s="2"/>
    </row>
    <row r="270" customFormat="false" ht="15.75" hidden="false" customHeight="true" outlineLevel="0" collapsed="false">
      <c r="A270" s="2"/>
      <c r="E270" s="2"/>
      <c r="V270" s="2"/>
      <c r="W270" s="2"/>
      <c r="AC270" s="2"/>
      <c r="AD270" s="2"/>
      <c r="AE270" s="2"/>
      <c r="AG270" s="2"/>
    </row>
    <row r="271" customFormat="false" ht="15.75" hidden="false" customHeight="true" outlineLevel="0" collapsed="false">
      <c r="A271" s="2"/>
      <c r="E271" s="2"/>
      <c r="V271" s="2"/>
      <c r="W271" s="2"/>
      <c r="AC271" s="2"/>
      <c r="AD271" s="2"/>
      <c r="AE271" s="2"/>
      <c r="AG271" s="2"/>
    </row>
    <row r="272" customFormat="false" ht="15.75" hidden="false" customHeight="true" outlineLevel="0" collapsed="false">
      <c r="A272" s="2"/>
      <c r="E272" s="2"/>
      <c r="V272" s="2"/>
      <c r="W272" s="2"/>
      <c r="AC272" s="2"/>
      <c r="AD272" s="2"/>
      <c r="AE272" s="2"/>
      <c r="AG272" s="2"/>
    </row>
    <row r="273" customFormat="false" ht="15.75" hidden="false" customHeight="true" outlineLevel="0" collapsed="false">
      <c r="A273" s="2"/>
      <c r="E273" s="2"/>
      <c r="V273" s="2"/>
      <c r="W273" s="2"/>
      <c r="AC273" s="2"/>
      <c r="AD273" s="2"/>
      <c r="AE273" s="2"/>
      <c r="AG273" s="2"/>
    </row>
    <row r="274" customFormat="false" ht="15.75" hidden="false" customHeight="true" outlineLevel="0" collapsed="false">
      <c r="A274" s="2"/>
      <c r="E274" s="2"/>
      <c r="V274" s="2"/>
      <c r="W274" s="2"/>
      <c r="AC274" s="2"/>
      <c r="AD274" s="2"/>
      <c r="AE274" s="2"/>
      <c r="AG274" s="2"/>
    </row>
    <row r="275" customFormat="false" ht="15.75" hidden="false" customHeight="true" outlineLevel="0" collapsed="false">
      <c r="A275" s="2"/>
      <c r="E275" s="2"/>
      <c r="V275" s="2"/>
      <c r="W275" s="2"/>
      <c r="AC275" s="2"/>
      <c r="AD275" s="2"/>
      <c r="AE275" s="2"/>
      <c r="AG275" s="2"/>
    </row>
    <row r="276" customFormat="false" ht="15.75" hidden="false" customHeight="true" outlineLevel="0" collapsed="false">
      <c r="A276" s="2"/>
      <c r="E276" s="2"/>
      <c r="V276" s="2"/>
      <c r="W276" s="2"/>
      <c r="AC276" s="2"/>
      <c r="AD276" s="2"/>
      <c r="AE276" s="2"/>
      <c r="AG276" s="2"/>
    </row>
    <row r="277" customFormat="false" ht="15.75" hidden="false" customHeight="true" outlineLevel="0" collapsed="false">
      <c r="A277" s="2"/>
      <c r="E277" s="2"/>
      <c r="V277" s="2"/>
      <c r="W277" s="2"/>
      <c r="AC277" s="2"/>
      <c r="AD277" s="2"/>
      <c r="AE277" s="2"/>
      <c r="AG277" s="2"/>
    </row>
    <row r="278" customFormat="false" ht="15.75" hidden="false" customHeight="true" outlineLevel="0" collapsed="false">
      <c r="A278" s="2"/>
      <c r="E278" s="2"/>
      <c r="V278" s="2"/>
      <c r="W278" s="2"/>
      <c r="AC278" s="2"/>
      <c r="AD278" s="2"/>
      <c r="AE278" s="2"/>
      <c r="AG278" s="2"/>
    </row>
    <row r="279" customFormat="false" ht="15.75" hidden="false" customHeight="true" outlineLevel="0" collapsed="false">
      <c r="A279" s="2"/>
      <c r="E279" s="2"/>
      <c r="V279" s="2"/>
      <c r="W279" s="2"/>
      <c r="AC279" s="2"/>
      <c r="AD279" s="2"/>
      <c r="AE279" s="2"/>
      <c r="AG279" s="2"/>
    </row>
    <row r="280" customFormat="false" ht="15.75" hidden="false" customHeight="true" outlineLevel="0" collapsed="false">
      <c r="A280" s="2"/>
      <c r="E280" s="2"/>
      <c r="V280" s="2"/>
      <c r="W280" s="2"/>
      <c r="AC280" s="2"/>
      <c r="AD280" s="2"/>
      <c r="AE280" s="2"/>
      <c r="AG280" s="2"/>
    </row>
    <row r="281" customFormat="false" ht="15.75" hidden="false" customHeight="true" outlineLevel="0" collapsed="false">
      <c r="A281" s="2"/>
      <c r="E281" s="2"/>
      <c r="V281" s="2"/>
      <c r="W281" s="2"/>
      <c r="AC281" s="2"/>
      <c r="AD281" s="2"/>
      <c r="AE281" s="2"/>
      <c r="AG281" s="2"/>
    </row>
    <row r="282" customFormat="false" ht="15.75" hidden="false" customHeight="true" outlineLevel="0" collapsed="false">
      <c r="A282" s="2"/>
      <c r="E282" s="2"/>
      <c r="V282" s="2"/>
      <c r="W282" s="2"/>
      <c r="AC282" s="2"/>
      <c r="AD282" s="2"/>
      <c r="AE282" s="2"/>
      <c r="AG282" s="2"/>
    </row>
    <row r="283" customFormat="false" ht="15.75" hidden="false" customHeight="true" outlineLevel="0" collapsed="false">
      <c r="A283" s="2"/>
      <c r="E283" s="2"/>
      <c r="V283" s="2"/>
      <c r="W283" s="2"/>
      <c r="AC283" s="2"/>
      <c r="AD283" s="2"/>
      <c r="AE283" s="2"/>
      <c r="AG283" s="2"/>
    </row>
    <row r="284" customFormat="false" ht="15.75" hidden="false" customHeight="true" outlineLevel="0" collapsed="false">
      <c r="A284" s="2"/>
      <c r="E284" s="2"/>
      <c r="V284" s="2"/>
      <c r="W284" s="2"/>
      <c r="AC284" s="2"/>
      <c r="AD284" s="2"/>
      <c r="AE284" s="2"/>
      <c r="AG284" s="2"/>
    </row>
    <row r="285" customFormat="false" ht="15.75" hidden="false" customHeight="true" outlineLevel="0" collapsed="false">
      <c r="A285" s="2"/>
      <c r="E285" s="2"/>
      <c r="V285" s="2"/>
      <c r="W285" s="2"/>
      <c r="AC285" s="2"/>
      <c r="AD285" s="2"/>
      <c r="AE285" s="2"/>
      <c r="AG285" s="2"/>
    </row>
    <row r="286" customFormat="false" ht="15.75" hidden="false" customHeight="true" outlineLevel="0" collapsed="false">
      <c r="A286" s="2"/>
      <c r="E286" s="2"/>
      <c r="V286" s="2"/>
      <c r="W286" s="2"/>
      <c r="AC286" s="2"/>
      <c r="AD286" s="2"/>
      <c r="AE286" s="2"/>
      <c r="AG286" s="2"/>
    </row>
    <row r="287" customFormat="false" ht="15.75" hidden="false" customHeight="true" outlineLevel="0" collapsed="false">
      <c r="A287" s="2"/>
      <c r="E287" s="2"/>
      <c r="V287" s="2"/>
      <c r="W287" s="2"/>
      <c r="AC287" s="2"/>
      <c r="AD287" s="2"/>
      <c r="AE287" s="2"/>
      <c r="AG287" s="2"/>
    </row>
    <row r="288" customFormat="false" ht="15.75" hidden="false" customHeight="true" outlineLevel="0" collapsed="false">
      <c r="A288" s="2"/>
      <c r="E288" s="2"/>
      <c r="V288" s="2"/>
      <c r="W288" s="2"/>
      <c r="AC288" s="2"/>
      <c r="AD288" s="2"/>
      <c r="AE288" s="2"/>
      <c r="AG288" s="2"/>
    </row>
    <row r="289" customFormat="false" ht="15.75" hidden="false" customHeight="true" outlineLevel="0" collapsed="false">
      <c r="A289" s="2"/>
      <c r="E289" s="2"/>
      <c r="V289" s="2"/>
      <c r="W289" s="2"/>
      <c r="AC289" s="2"/>
      <c r="AD289" s="2"/>
      <c r="AE289" s="2"/>
      <c r="AG289" s="2"/>
    </row>
    <row r="290" customFormat="false" ht="15.75" hidden="false" customHeight="true" outlineLevel="0" collapsed="false">
      <c r="A290" s="2"/>
      <c r="E290" s="2"/>
      <c r="V290" s="2"/>
      <c r="W290" s="2"/>
      <c r="AC290" s="2"/>
      <c r="AD290" s="2"/>
      <c r="AE290" s="2"/>
      <c r="AG290" s="2"/>
    </row>
    <row r="291" customFormat="false" ht="15.75" hidden="false" customHeight="true" outlineLevel="0" collapsed="false">
      <c r="A291" s="2"/>
      <c r="E291" s="2"/>
      <c r="V291" s="2"/>
      <c r="W291" s="2"/>
      <c r="AC291" s="2"/>
      <c r="AD291" s="2"/>
      <c r="AE291" s="2"/>
      <c r="AG291" s="2"/>
    </row>
    <row r="292" customFormat="false" ht="15.75" hidden="false" customHeight="true" outlineLevel="0" collapsed="false">
      <c r="A292" s="2"/>
      <c r="E292" s="2"/>
      <c r="V292" s="2"/>
      <c r="W292" s="2"/>
      <c r="AC292" s="2"/>
      <c r="AD292" s="2"/>
      <c r="AE292" s="2"/>
      <c r="AG292" s="2"/>
    </row>
    <row r="293" customFormat="false" ht="15.75" hidden="false" customHeight="true" outlineLevel="0" collapsed="false">
      <c r="A293" s="2"/>
      <c r="E293" s="2"/>
      <c r="V293" s="2"/>
      <c r="W293" s="2"/>
      <c r="AC293" s="2"/>
      <c r="AD293" s="2"/>
      <c r="AE293" s="2"/>
      <c r="AG293" s="2"/>
    </row>
    <row r="294" customFormat="false" ht="15.75" hidden="false" customHeight="true" outlineLevel="0" collapsed="false">
      <c r="A294" s="2"/>
      <c r="E294" s="2"/>
      <c r="V294" s="2"/>
      <c r="W294" s="2"/>
      <c r="AC294" s="2"/>
      <c r="AD294" s="2"/>
      <c r="AE294" s="2"/>
      <c r="AG294" s="2"/>
    </row>
    <row r="295" customFormat="false" ht="15.75" hidden="false" customHeight="true" outlineLevel="0" collapsed="false">
      <c r="A295" s="2"/>
      <c r="E295" s="2"/>
      <c r="V295" s="2"/>
      <c r="W295" s="2"/>
      <c r="AC295" s="2"/>
      <c r="AD295" s="2"/>
      <c r="AE295" s="2"/>
      <c r="AG295" s="2"/>
    </row>
    <row r="296" customFormat="false" ht="15.75" hidden="false" customHeight="true" outlineLevel="0" collapsed="false">
      <c r="A296" s="2"/>
      <c r="E296" s="2"/>
      <c r="V296" s="2"/>
      <c r="W296" s="2"/>
      <c r="AC296" s="2"/>
      <c r="AD296" s="2"/>
      <c r="AE296" s="2"/>
      <c r="AG296" s="2"/>
    </row>
    <row r="297" customFormat="false" ht="15.75" hidden="false" customHeight="true" outlineLevel="0" collapsed="false">
      <c r="A297" s="2"/>
      <c r="E297" s="2"/>
      <c r="V297" s="2"/>
      <c r="W297" s="2"/>
      <c r="AC297" s="2"/>
      <c r="AD297" s="2"/>
      <c r="AE297" s="2"/>
      <c r="AG297" s="2"/>
    </row>
    <row r="298" customFormat="false" ht="15.75" hidden="false" customHeight="true" outlineLevel="0" collapsed="false">
      <c r="A298" s="2"/>
      <c r="E298" s="2"/>
      <c r="V298" s="2"/>
      <c r="W298" s="2"/>
      <c r="AC298" s="2"/>
      <c r="AD298" s="2"/>
      <c r="AE298" s="2"/>
      <c r="AG298" s="2"/>
    </row>
    <row r="299" customFormat="false" ht="15.75" hidden="false" customHeight="true" outlineLevel="0" collapsed="false">
      <c r="A299" s="2"/>
      <c r="E299" s="2"/>
      <c r="V299" s="2"/>
      <c r="W299" s="2"/>
      <c r="AC299" s="2"/>
      <c r="AD299" s="2"/>
      <c r="AE299" s="2"/>
      <c r="AG299" s="2"/>
    </row>
    <row r="300" customFormat="false" ht="15.75" hidden="false" customHeight="true" outlineLevel="0" collapsed="false">
      <c r="A300" s="2"/>
      <c r="E300" s="2"/>
      <c r="V300" s="2"/>
      <c r="W300" s="2"/>
      <c r="AC300" s="2"/>
      <c r="AD300" s="2"/>
      <c r="AE300" s="2"/>
      <c r="AG300" s="2"/>
    </row>
    <row r="301" customFormat="false" ht="15.75" hidden="false" customHeight="true" outlineLevel="0" collapsed="false">
      <c r="A301" s="2"/>
      <c r="E301" s="2"/>
      <c r="V301" s="2"/>
      <c r="W301" s="2"/>
      <c r="AC301" s="2"/>
      <c r="AD301" s="2"/>
      <c r="AE301" s="2"/>
      <c r="AG301" s="2"/>
    </row>
    <row r="302" customFormat="false" ht="15.75" hidden="false" customHeight="true" outlineLevel="0" collapsed="false">
      <c r="A302" s="2"/>
      <c r="E302" s="2"/>
      <c r="V302" s="2"/>
      <c r="W302" s="2"/>
      <c r="AC302" s="2"/>
      <c r="AD302" s="2"/>
      <c r="AE302" s="2"/>
      <c r="AG302" s="2"/>
    </row>
    <row r="303" customFormat="false" ht="15.75" hidden="false" customHeight="true" outlineLevel="0" collapsed="false">
      <c r="A303" s="2"/>
      <c r="E303" s="2"/>
      <c r="V303" s="2"/>
      <c r="W303" s="2"/>
      <c r="AC303" s="2"/>
      <c r="AD303" s="2"/>
      <c r="AE303" s="2"/>
      <c r="AG303" s="2"/>
    </row>
    <row r="304" customFormat="false" ht="15.75" hidden="false" customHeight="true" outlineLevel="0" collapsed="false">
      <c r="A304" s="2"/>
      <c r="E304" s="2"/>
      <c r="V304" s="2"/>
      <c r="W304" s="2"/>
      <c r="AC304" s="2"/>
      <c r="AD304" s="2"/>
      <c r="AE304" s="2"/>
      <c r="AG304" s="2"/>
    </row>
    <row r="305" customFormat="false" ht="15.75" hidden="false" customHeight="true" outlineLevel="0" collapsed="false">
      <c r="A305" s="2"/>
      <c r="E305" s="2"/>
      <c r="V305" s="2"/>
      <c r="W305" s="2"/>
      <c r="AC305" s="2"/>
      <c r="AD305" s="2"/>
      <c r="AE305" s="2"/>
      <c r="AG305" s="2"/>
    </row>
    <row r="306" customFormat="false" ht="15.75" hidden="false" customHeight="true" outlineLevel="0" collapsed="false">
      <c r="A306" s="2"/>
      <c r="E306" s="2"/>
      <c r="V306" s="2"/>
      <c r="W306" s="2"/>
      <c r="AC306" s="2"/>
      <c r="AD306" s="2"/>
      <c r="AE306" s="2"/>
      <c r="AG306" s="2"/>
    </row>
    <row r="307" customFormat="false" ht="15.75" hidden="false" customHeight="true" outlineLevel="0" collapsed="false">
      <c r="A307" s="2"/>
      <c r="E307" s="2"/>
      <c r="V307" s="2"/>
      <c r="W307" s="2"/>
      <c r="AC307" s="2"/>
      <c r="AD307" s="2"/>
      <c r="AE307" s="2"/>
      <c r="AG307" s="2"/>
    </row>
    <row r="308" customFormat="false" ht="15.75" hidden="false" customHeight="true" outlineLevel="0" collapsed="false">
      <c r="A308" s="2"/>
      <c r="E308" s="2"/>
      <c r="V308" s="2"/>
      <c r="W308" s="2"/>
      <c r="AC308" s="2"/>
      <c r="AD308" s="2"/>
      <c r="AE308" s="2"/>
      <c r="AG308" s="2"/>
    </row>
    <row r="309" customFormat="false" ht="15.75" hidden="false" customHeight="true" outlineLevel="0" collapsed="false">
      <c r="A309" s="2"/>
      <c r="E309" s="2"/>
      <c r="V309" s="2"/>
      <c r="W309" s="2"/>
      <c r="AC309" s="2"/>
      <c r="AD309" s="2"/>
      <c r="AE309" s="2"/>
      <c r="AG309" s="2"/>
    </row>
    <row r="310" customFormat="false" ht="15.75" hidden="false" customHeight="true" outlineLevel="0" collapsed="false">
      <c r="A310" s="2"/>
      <c r="E310" s="2"/>
      <c r="V310" s="2"/>
      <c r="W310" s="2"/>
      <c r="AC310" s="2"/>
      <c r="AD310" s="2"/>
      <c r="AE310" s="2"/>
      <c r="AG310" s="2"/>
    </row>
    <row r="311" customFormat="false" ht="15.75" hidden="false" customHeight="true" outlineLevel="0" collapsed="false">
      <c r="A311" s="2"/>
      <c r="E311" s="2"/>
      <c r="V311" s="2"/>
      <c r="W311" s="2"/>
      <c r="AC311" s="2"/>
      <c r="AD311" s="2"/>
      <c r="AE311" s="2"/>
      <c r="AG311" s="2"/>
    </row>
    <row r="312" customFormat="false" ht="15.75" hidden="false" customHeight="true" outlineLevel="0" collapsed="false">
      <c r="A312" s="2"/>
      <c r="E312" s="2"/>
      <c r="V312" s="2"/>
      <c r="W312" s="2"/>
      <c r="AC312" s="2"/>
      <c r="AD312" s="2"/>
      <c r="AE312" s="2"/>
      <c r="AG312" s="2"/>
    </row>
    <row r="313" customFormat="false" ht="15.75" hidden="false" customHeight="true" outlineLevel="0" collapsed="false">
      <c r="A313" s="2"/>
      <c r="E313" s="2"/>
      <c r="V313" s="2"/>
      <c r="W313" s="2"/>
      <c r="AC313" s="2"/>
      <c r="AD313" s="2"/>
      <c r="AE313" s="2"/>
      <c r="AG313" s="2"/>
    </row>
    <row r="314" customFormat="false" ht="15.75" hidden="false" customHeight="true" outlineLevel="0" collapsed="false">
      <c r="A314" s="2"/>
      <c r="E314" s="2"/>
      <c r="V314" s="2"/>
      <c r="W314" s="2"/>
      <c r="AC314" s="2"/>
      <c r="AD314" s="2"/>
      <c r="AE314" s="2"/>
      <c r="AG314" s="2"/>
    </row>
    <row r="315" customFormat="false" ht="15.75" hidden="false" customHeight="true" outlineLevel="0" collapsed="false">
      <c r="A315" s="2"/>
      <c r="E315" s="2"/>
      <c r="V315" s="2"/>
      <c r="W315" s="2"/>
      <c r="AC315" s="2"/>
      <c r="AD315" s="2"/>
      <c r="AE315" s="2"/>
      <c r="AG315" s="2"/>
    </row>
    <row r="316" customFormat="false" ht="15.75" hidden="false" customHeight="true" outlineLevel="0" collapsed="false">
      <c r="A316" s="2"/>
      <c r="E316" s="2"/>
      <c r="V316" s="2"/>
      <c r="W316" s="2"/>
      <c r="AC316" s="2"/>
      <c r="AD316" s="2"/>
      <c r="AE316" s="2"/>
      <c r="AG316" s="2"/>
    </row>
    <row r="317" customFormat="false" ht="15.75" hidden="false" customHeight="true" outlineLevel="0" collapsed="false">
      <c r="A317" s="2"/>
      <c r="E317" s="2"/>
      <c r="V317" s="2"/>
      <c r="W317" s="2"/>
      <c r="AC317" s="2"/>
      <c r="AD317" s="2"/>
      <c r="AE317" s="2"/>
      <c r="AG317" s="2"/>
    </row>
    <row r="318" customFormat="false" ht="15.75" hidden="false" customHeight="true" outlineLevel="0" collapsed="false">
      <c r="A318" s="2"/>
      <c r="E318" s="2"/>
      <c r="V318" s="2"/>
      <c r="W318" s="2"/>
      <c r="AC318" s="2"/>
      <c r="AD318" s="2"/>
      <c r="AE318" s="2"/>
      <c r="AG318" s="2"/>
    </row>
    <row r="319" customFormat="false" ht="15.75" hidden="false" customHeight="true" outlineLevel="0" collapsed="false">
      <c r="A319" s="2"/>
      <c r="E319" s="2"/>
      <c r="V319" s="2"/>
      <c r="W319" s="2"/>
      <c r="AC319" s="2"/>
      <c r="AD319" s="2"/>
      <c r="AE319" s="2"/>
      <c r="AG319" s="2"/>
    </row>
    <row r="320" customFormat="false" ht="15.75" hidden="false" customHeight="true" outlineLevel="0" collapsed="false">
      <c r="A320" s="2"/>
      <c r="E320" s="2"/>
      <c r="V320" s="2"/>
      <c r="W320" s="2"/>
      <c r="AC320" s="2"/>
      <c r="AD320" s="2"/>
      <c r="AE320" s="2"/>
      <c r="AG320" s="2"/>
    </row>
    <row r="321" customFormat="false" ht="15.75" hidden="false" customHeight="true" outlineLevel="0" collapsed="false">
      <c r="A321" s="2"/>
      <c r="E321" s="2"/>
      <c r="V321" s="2"/>
      <c r="W321" s="2"/>
      <c r="AC321" s="2"/>
      <c r="AD321" s="2"/>
      <c r="AE321" s="2"/>
      <c r="AG321" s="2"/>
    </row>
    <row r="322" customFormat="false" ht="15.75" hidden="false" customHeight="true" outlineLevel="0" collapsed="false">
      <c r="A322" s="2"/>
      <c r="E322" s="2"/>
      <c r="V322" s="2"/>
      <c r="W322" s="2"/>
      <c r="AC322" s="2"/>
      <c r="AD322" s="2"/>
      <c r="AE322" s="2"/>
      <c r="AG322" s="2"/>
    </row>
    <row r="323" customFormat="false" ht="15.75" hidden="false" customHeight="true" outlineLevel="0" collapsed="false">
      <c r="A323" s="2"/>
      <c r="E323" s="2"/>
      <c r="V323" s="2"/>
      <c r="W323" s="2"/>
      <c r="AC323" s="2"/>
      <c r="AD323" s="2"/>
      <c r="AE323" s="2"/>
      <c r="AG323" s="2"/>
    </row>
    <row r="324" customFormat="false" ht="15.75" hidden="false" customHeight="true" outlineLevel="0" collapsed="false">
      <c r="A324" s="2"/>
      <c r="E324" s="2"/>
      <c r="V324" s="2"/>
      <c r="W324" s="2"/>
      <c r="AC324" s="2"/>
      <c r="AD324" s="2"/>
      <c r="AE324" s="2"/>
      <c r="AG324" s="2"/>
    </row>
    <row r="325" customFormat="false" ht="15.75" hidden="false" customHeight="true" outlineLevel="0" collapsed="false">
      <c r="A325" s="2"/>
      <c r="E325" s="2"/>
      <c r="V325" s="2"/>
      <c r="W325" s="2"/>
      <c r="AC325" s="2"/>
      <c r="AD325" s="2"/>
      <c r="AE325" s="2"/>
      <c r="AG325" s="2"/>
    </row>
    <row r="326" customFormat="false" ht="15.75" hidden="false" customHeight="true" outlineLevel="0" collapsed="false">
      <c r="A326" s="2"/>
      <c r="E326" s="2"/>
      <c r="V326" s="2"/>
      <c r="W326" s="2"/>
      <c r="AC326" s="2"/>
      <c r="AD326" s="2"/>
      <c r="AE326" s="2"/>
      <c r="AG326" s="2"/>
    </row>
    <row r="327" customFormat="false" ht="15.75" hidden="false" customHeight="true" outlineLevel="0" collapsed="false">
      <c r="A327" s="2"/>
      <c r="E327" s="2"/>
      <c r="V327" s="2"/>
      <c r="W327" s="2"/>
      <c r="AC327" s="2"/>
      <c r="AD327" s="2"/>
      <c r="AE327" s="2"/>
      <c r="AG327" s="2"/>
    </row>
    <row r="328" customFormat="false" ht="15.75" hidden="false" customHeight="true" outlineLevel="0" collapsed="false">
      <c r="A328" s="2"/>
      <c r="E328" s="2"/>
      <c r="V328" s="2"/>
      <c r="W328" s="2"/>
      <c r="AC328" s="2"/>
      <c r="AD328" s="2"/>
      <c r="AE328" s="2"/>
      <c r="AG328" s="2"/>
    </row>
    <row r="329" customFormat="false" ht="15.75" hidden="false" customHeight="true" outlineLevel="0" collapsed="false">
      <c r="A329" s="2"/>
      <c r="E329" s="2"/>
      <c r="V329" s="2"/>
      <c r="W329" s="2"/>
      <c r="AC329" s="2"/>
      <c r="AD329" s="2"/>
      <c r="AE329" s="2"/>
      <c r="AG329" s="2"/>
    </row>
    <row r="330" customFormat="false" ht="15.75" hidden="false" customHeight="true" outlineLevel="0" collapsed="false">
      <c r="A330" s="2"/>
      <c r="E330" s="2"/>
      <c r="V330" s="2"/>
      <c r="W330" s="2"/>
      <c r="AC330" s="2"/>
      <c r="AD330" s="2"/>
      <c r="AE330" s="2"/>
      <c r="AG330" s="2"/>
    </row>
    <row r="331" customFormat="false" ht="15.75" hidden="false" customHeight="true" outlineLevel="0" collapsed="false">
      <c r="A331" s="2"/>
      <c r="E331" s="2"/>
      <c r="V331" s="2"/>
      <c r="W331" s="2"/>
      <c r="AC331" s="2"/>
      <c r="AD331" s="2"/>
      <c r="AE331" s="2"/>
      <c r="AG331" s="2"/>
    </row>
    <row r="332" customFormat="false" ht="15.75" hidden="false" customHeight="true" outlineLevel="0" collapsed="false">
      <c r="A332" s="2"/>
      <c r="E332" s="2"/>
      <c r="V332" s="2"/>
      <c r="W332" s="2"/>
      <c r="AC332" s="2"/>
      <c r="AD332" s="2"/>
      <c r="AE332" s="2"/>
      <c r="AG332" s="2"/>
    </row>
    <row r="333" customFormat="false" ht="15.75" hidden="false" customHeight="true" outlineLevel="0" collapsed="false">
      <c r="A333" s="2"/>
      <c r="E333" s="2"/>
      <c r="V333" s="2"/>
      <c r="W333" s="2"/>
      <c r="AC333" s="2"/>
      <c r="AD333" s="2"/>
      <c r="AE333" s="2"/>
      <c r="AG333" s="2"/>
    </row>
    <row r="334" customFormat="false" ht="15.75" hidden="false" customHeight="true" outlineLevel="0" collapsed="false">
      <c r="A334" s="2"/>
      <c r="E334" s="2"/>
      <c r="V334" s="2"/>
      <c r="W334" s="2"/>
      <c r="AC334" s="2"/>
      <c r="AD334" s="2"/>
      <c r="AE334" s="2"/>
      <c r="AG334" s="2"/>
    </row>
    <row r="335" customFormat="false" ht="15.75" hidden="false" customHeight="true" outlineLevel="0" collapsed="false">
      <c r="A335" s="2"/>
      <c r="E335" s="2"/>
      <c r="V335" s="2"/>
      <c r="W335" s="2"/>
      <c r="AC335" s="2"/>
      <c r="AD335" s="2"/>
      <c r="AE335" s="2"/>
      <c r="AG335" s="2"/>
    </row>
    <row r="336" customFormat="false" ht="15.75" hidden="false" customHeight="true" outlineLevel="0" collapsed="false">
      <c r="A336" s="2"/>
      <c r="E336" s="2"/>
      <c r="V336" s="2"/>
      <c r="W336" s="2"/>
      <c r="AC336" s="2"/>
      <c r="AD336" s="2"/>
      <c r="AE336" s="2"/>
      <c r="AG336" s="2"/>
    </row>
    <row r="337" customFormat="false" ht="15.75" hidden="false" customHeight="true" outlineLevel="0" collapsed="false">
      <c r="A337" s="2"/>
      <c r="E337" s="2"/>
      <c r="V337" s="2"/>
      <c r="W337" s="2"/>
      <c r="AC337" s="2"/>
      <c r="AD337" s="2"/>
      <c r="AE337" s="2"/>
      <c r="AG337" s="2"/>
    </row>
    <row r="338" customFormat="false" ht="15.75" hidden="false" customHeight="true" outlineLevel="0" collapsed="false">
      <c r="A338" s="2"/>
      <c r="E338" s="2"/>
      <c r="V338" s="2"/>
      <c r="W338" s="2"/>
      <c r="AC338" s="2"/>
      <c r="AD338" s="2"/>
      <c r="AE338" s="2"/>
      <c r="AG338" s="2"/>
    </row>
    <row r="339" customFormat="false" ht="15.75" hidden="false" customHeight="true" outlineLevel="0" collapsed="false">
      <c r="A339" s="2"/>
      <c r="E339" s="2"/>
      <c r="V339" s="2"/>
      <c r="W339" s="2"/>
      <c r="AC339" s="2"/>
      <c r="AD339" s="2"/>
      <c r="AE339" s="2"/>
      <c r="AG339" s="2"/>
    </row>
    <row r="340" customFormat="false" ht="15.75" hidden="false" customHeight="true" outlineLevel="0" collapsed="false">
      <c r="A340" s="2"/>
      <c r="E340" s="2"/>
      <c r="V340" s="2"/>
      <c r="W340" s="2"/>
      <c r="AC340" s="2"/>
      <c r="AD340" s="2"/>
      <c r="AE340" s="2"/>
      <c r="AG340" s="2"/>
    </row>
    <row r="341" customFormat="false" ht="15.75" hidden="false" customHeight="true" outlineLevel="0" collapsed="false">
      <c r="A341" s="2"/>
      <c r="E341" s="2"/>
      <c r="V341" s="2"/>
      <c r="W341" s="2"/>
      <c r="AC341" s="2"/>
      <c r="AD341" s="2"/>
      <c r="AE341" s="2"/>
      <c r="AG341" s="2"/>
    </row>
    <row r="342" customFormat="false" ht="15.75" hidden="false" customHeight="true" outlineLevel="0" collapsed="false">
      <c r="A342" s="2"/>
      <c r="E342" s="2"/>
      <c r="V342" s="2"/>
      <c r="W342" s="2"/>
      <c r="AC342" s="2"/>
      <c r="AD342" s="2"/>
      <c r="AE342" s="2"/>
      <c r="AG342" s="2"/>
    </row>
    <row r="343" customFormat="false" ht="15.75" hidden="false" customHeight="true" outlineLevel="0" collapsed="false">
      <c r="A343" s="2"/>
      <c r="E343" s="2"/>
      <c r="V343" s="2"/>
      <c r="W343" s="2"/>
      <c r="AC343" s="2"/>
      <c r="AD343" s="2"/>
      <c r="AE343" s="2"/>
      <c r="AG343" s="2"/>
    </row>
    <row r="344" customFormat="false" ht="15.75" hidden="false" customHeight="true" outlineLevel="0" collapsed="false">
      <c r="A344" s="2"/>
      <c r="E344" s="2"/>
      <c r="V344" s="2"/>
      <c r="W344" s="2"/>
      <c r="AC344" s="2"/>
      <c r="AD344" s="2"/>
      <c r="AE344" s="2"/>
      <c r="AG344" s="2"/>
    </row>
    <row r="345" customFormat="false" ht="15.75" hidden="false" customHeight="true" outlineLevel="0" collapsed="false">
      <c r="A345" s="2"/>
      <c r="E345" s="2"/>
      <c r="V345" s="2"/>
      <c r="W345" s="2"/>
      <c r="AC345" s="2"/>
      <c r="AD345" s="2"/>
      <c r="AE345" s="2"/>
      <c r="AG345" s="2"/>
    </row>
    <row r="346" customFormat="false" ht="15.75" hidden="false" customHeight="true" outlineLevel="0" collapsed="false">
      <c r="A346" s="2"/>
      <c r="E346" s="2"/>
      <c r="V346" s="2"/>
      <c r="W346" s="2"/>
      <c r="AC346" s="2"/>
      <c r="AD346" s="2"/>
      <c r="AE346" s="2"/>
      <c r="AG346" s="2"/>
    </row>
    <row r="347" customFormat="false" ht="15.75" hidden="false" customHeight="true" outlineLevel="0" collapsed="false">
      <c r="A347" s="2"/>
      <c r="E347" s="2"/>
      <c r="V347" s="2"/>
      <c r="W347" s="2"/>
      <c r="AC347" s="2"/>
      <c r="AD347" s="2"/>
      <c r="AE347" s="2"/>
      <c r="AG347" s="2"/>
    </row>
    <row r="348" customFormat="false" ht="15.75" hidden="false" customHeight="true" outlineLevel="0" collapsed="false">
      <c r="A348" s="2"/>
      <c r="E348" s="2"/>
      <c r="V348" s="2"/>
      <c r="W348" s="2"/>
      <c r="AC348" s="2"/>
      <c r="AD348" s="2"/>
      <c r="AE348" s="2"/>
      <c r="AG348" s="2"/>
    </row>
    <row r="349" customFormat="false" ht="15.75" hidden="false" customHeight="true" outlineLevel="0" collapsed="false">
      <c r="A349" s="2"/>
      <c r="E349" s="2"/>
      <c r="V349" s="2"/>
      <c r="W349" s="2"/>
      <c r="AC349" s="2"/>
      <c r="AD349" s="2"/>
      <c r="AE349" s="2"/>
      <c r="AG349" s="2"/>
    </row>
    <row r="350" customFormat="false" ht="15.75" hidden="false" customHeight="true" outlineLevel="0" collapsed="false">
      <c r="A350" s="2"/>
      <c r="E350" s="2"/>
      <c r="V350" s="2"/>
      <c r="W350" s="2"/>
      <c r="AC350" s="2"/>
      <c r="AD350" s="2"/>
      <c r="AE350" s="2"/>
      <c r="AG350" s="2"/>
    </row>
    <row r="351" customFormat="false" ht="15.75" hidden="false" customHeight="true" outlineLevel="0" collapsed="false">
      <c r="A351" s="2"/>
      <c r="E351" s="2"/>
      <c r="V351" s="2"/>
      <c r="W351" s="2"/>
      <c r="AC351" s="2"/>
      <c r="AD351" s="2"/>
      <c r="AE351" s="2"/>
      <c r="AG351" s="2"/>
    </row>
    <row r="352" customFormat="false" ht="15.75" hidden="false" customHeight="true" outlineLevel="0" collapsed="false">
      <c r="A352" s="2"/>
      <c r="E352" s="2"/>
      <c r="V352" s="2"/>
      <c r="W352" s="2"/>
      <c r="AC352" s="2"/>
      <c r="AD352" s="2"/>
      <c r="AE352" s="2"/>
      <c r="AG352" s="2"/>
    </row>
    <row r="353" customFormat="false" ht="15.75" hidden="false" customHeight="true" outlineLevel="0" collapsed="false">
      <c r="A353" s="2"/>
      <c r="E353" s="2"/>
      <c r="V353" s="2"/>
      <c r="W353" s="2"/>
      <c r="AC353" s="2"/>
      <c r="AD353" s="2"/>
      <c r="AE353" s="2"/>
      <c r="AG353" s="2"/>
    </row>
    <row r="354" customFormat="false" ht="15.75" hidden="false" customHeight="true" outlineLevel="0" collapsed="false">
      <c r="A354" s="2"/>
      <c r="E354" s="2"/>
      <c r="V354" s="2"/>
      <c r="W354" s="2"/>
      <c r="AC354" s="2"/>
      <c r="AD354" s="2"/>
      <c r="AE354" s="2"/>
      <c r="AG354" s="2"/>
    </row>
    <row r="355" customFormat="false" ht="15.75" hidden="false" customHeight="true" outlineLevel="0" collapsed="false">
      <c r="A355" s="2"/>
      <c r="E355" s="2"/>
      <c r="V355" s="2"/>
      <c r="W355" s="2"/>
      <c r="AC355" s="2"/>
      <c r="AD355" s="2"/>
      <c r="AE355" s="2"/>
      <c r="AG355" s="2"/>
    </row>
    <row r="356" customFormat="false" ht="15.75" hidden="false" customHeight="true" outlineLevel="0" collapsed="false">
      <c r="A356" s="2"/>
      <c r="E356" s="2"/>
      <c r="V356" s="2"/>
      <c r="W356" s="2"/>
      <c r="AC356" s="2"/>
      <c r="AD356" s="2"/>
      <c r="AE356" s="2"/>
      <c r="AG356" s="2"/>
    </row>
    <row r="357" customFormat="false" ht="15.75" hidden="false" customHeight="true" outlineLevel="0" collapsed="false">
      <c r="A357" s="2"/>
      <c r="E357" s="2"/>
      <c r="V357" s="2"/>
      <c r="W357" s="2"/>
      <c r="AC357" s="2"/>
      <c r="AD357" s="2"/>
      <c r="AE357" s="2"/>
      <c r="AG357" s="2"/>
    </row>
    <row r="358" customFormat="false" ht="15.75" hidden="false" customHeight="true" outlineLevel="0" collapsed="false">
      <c r="A358" s="2"/>
      <c r="E358" s="2"/>
      <c r="V358" s="2"/>
      <c r="W358" s="2"/>
      <c r="AC358" s="2"/>
      <c r="AD358" s="2"/>
      <c r="AE358" s="2"/>
      <c r="AG358" s="2"/>
    </row>
    <row r="359" customFormat="false" ht="15.75" hidden="false" customHeight="true" outlineLevel="0" collapsed="false">
      <c r="A359" s="2"/>
      <c r="E359" s="2"/>
      <c r="V359" s="2"/>
      <c r="W359" s="2"/>
      <c r="AC359" s="2"/>
      <c r="AD359" s="2"/>
      <c r="AE359" s="2"/>
      <c r="AG359" s="2"/>
    </row>
    <row r="360" customFormat="false" ht="15.75" hidden="false" customHeight="true" outlineLevel="0" collapsed="false">
      <c r="A360" s="2"/>
      <c r="E360" s="2"/>
      <c r="V360" s="2"/>
      <c r="W360" s="2"/>
      <c r="AC360" s="2"/>
      <c r="AD360" s="2"/>
      <c r="AE360" s="2"/>
      <c r="AG360" s="2"/>
    </row>
    <row r="361" customFormat="false" ht="15.75" hidden="false" customHeight="true" outlineLevel="0" collapsed="false">
      <c r="A361" s="2"/>
      <c r="E361" s="2"/>
      <c r="V361" s="2"/>
      <c r="W361" s="2"/>
      <c r="AC361" s="2"/>
      <c r="AD361" s="2"/>
      <c r="AE361" s="2"/>
      <c r="AG361" s="2"/>
    </row>
    <row r="362" customFormat="false" ht="15.75" hidden="false" customHeight="true" outlineLevel="0" collapsed="false">
      <c r="A362" s="2"/>
      <c r="E362" s="2"/>
      <c r="V362" s="2"/>
      <c r="W362" s="2"/>
      <c r="AC362" s="2"/>
      <c r="AD362" s="2"/>
      <c r="AE362" s="2"/>
      <c r="AG362" s="2"/>
    </row>
    <row r="363" customFormat="false" ht="15.75" hidden="false" customHeight="true" outlineLevel="0" collapsed="false">
      <c r="A363" s="2"/>
      <c r="E363" s="2"/>
      <c r="V363" s="2"/>
      <c r="W363" s="2"/>
      <c r="AC363" s="2"/>
      <c r="AD363" s="2"/>
      <c r="AE363" s="2"/>
      <c r="AG363" s="2"/>
    </row>
    <row r="364" customFormat="false" ht="15.75" hidden="false" customHeight="true" outlineLevel="0" collapsed="false">
      <c r="A364" s="2"/>
      <c r="E364" s="2"/>
      <c r="V364" s="2"/>
      <c r="W364" s="2"/>
      <c r="AC364" s="2"/>
      <c r="AD364" s="2"/>
      <c r="AE364" s="2"/>
      <c r="AG364" s="2"/>
    </row>
    <row r="365" customFormat="false" ht="15.75" hidden="false" customHeight="true" outlineLevel="0" collapsed="false">
      <c r="A365" s="2"/>
      <c r="E365" s="2"/>
      <c r="V365" s="2"/>
      <c r="W365" s="2"/>
      <c r="AC365" s="2"/>
      <c r="AD365" s="2"/>
      <c r="AE365" s="2"/>
      <c r="AG365" s="2"/>
    </row>
    <row r="366" customFormat="false" ht="15.75" hidden="false" customHeight="true" outlineLevel="0" collapsed="false">
      <c r="A366" s="2"/>
      <c r="E366" s="2"/>
      <c r="V366" s="2"/>
      <c r="W366" s="2"/>
      <c r="AC366" s="2"/>
      <c r="AD366" s="2"/>
      <c r="AE366" s="2"/>
      <c r="AG366" s="2"/>
    </row>
    <row r="367" customFormat="false" ht="15.75" hidden="false" customHeight="true" outlineLevel="0" collapsed="false">
      <c r="A367" s="2"/>
      <c r="E367" s="2"/>
      <c r="V367" s="2"/>
      <c r="W367" s="2"/>
      <c r="AC367" s="2"/>
      <c r="AD367" s="2"/>
      <c r="AE367" s="2"/>
      <c r="AG367" s="2"/>
    </row>
    <row r="368" customFormat="false" ht="15.75" hidden="false" customHeight="true" outlineLevel="0" collapsed="false">
      <c r="A368" s="2"/>
      <c r="E368" s="2"/>
      <c r="V368" s="2"/>
      <c r="W368" s="2"/>
      <c r="AC368" s="2"/>
      <c r="AD368" s="2"/>
      <c r="AE368" s="2"/>
      <c r="AG368" s="2"/>
    </row>
    <row r="369" customFormat="false" ht="15.75" hidden="false" customHeight="true" outlineLevel="0" collapsed="false">
      <c r="A369" s="2"/>
      <c r="E369" s="2"/>
      <c r="V369" s="2"/>
      <c r="W369" s="2"/>
      <c r="AC369" s="2"/>
      <c r="AD369" s="2"/>
      <c r="AE369" s="2"/>
      <c r="AG369" s="2"/>
    </row>
    <row r="370" customFormat="false" ht="15.75" hidden="false" customHeight="true" outlineLevel="0" collapsed="false">
      <c r="A370" s="2"/>
      <c r="E370" s="2"/>
      <c r="V370" s="2"/>
      <c r="W370" s="2"/>
      <c r="AC370" s="2"/>
      <c r="AD370" s="2"/>
      <c r="AE370" s="2"/>
      <c r="AG370" s="2"/>
    </row>
    <row r="371" customFormat="false" ht="15.75" hidden="false" customHeight="true" outlineLevel="0" collapsed="false">
      <c r="A371" s="2"/>
      <c r="E371" s="2"/>
      <c r="V371" s="2"/>
      <c r="W371" s="2"/>
      <c r="AC371" s="2"/>
      <c r="AD371" s="2"/>
      <c r="AE371" s="2"/>
      <c r="AG371" s="2"/>
    </row>
    <row r="372" customFormat="false" ht="15.75" hidden="false" customHeight="true" outlineLevel="0" collapsed="false">
      <c r="A372" s="2"/>
      <c r="E372" s="2"/>
      <c r="V372" s="2"/>
      <c r="W372" s="2"/>
      <c r="AC372" s="2"/>
      <c r="AD372" s="2"/>
      <c r="AE372" s="2"/>
      <c r="AG372" s="2"/>
    </row>
    <row r="373" customFormat="false" ht="15.75" hidden="false" customHeight="true" outlineLevel="0" collapsed="false">
      <c r="A373" s="2"/>
      <c r="E373" s="2"/>
      <c r="V373" s="2"/>
      <c r="W373" s="2"/>
      <c r="AC373" s="2"/>
      <c r="AD373" s="2"/>
      <c r="AE373" s="2"/>
      <c r="AG373" s="2"/>
    </row>
    <row r="374" customFormat="false" ht="15.75" hidden="false" customHeight="true" outlineLevel="0" collapsed="false">
      <c r="A374" s="2"/>
      <c r="E374" s="2"/>
      <c r="V374" s="2"/>
      <c r="W374" s="2"/>
      <c r="AC374" s="2"/>
      <c r="AD374" s="2"/>
      <c r="AE374" s="2"/>
      <c r="AG374" s="2"/>
    </row>
    <row r="375" customFormat="false" ht="15.75" hidden="false" customHeight="true" outlineLevel="0" collapsed="false">
      <c r="A375" s="2"/>
      <c r="E375" s="2"/>
      <c r="V375" s="2"/>
      <c r="W375" s="2"/>
      <c r="AC375" s="2"/>
      <c r="AD375" s="2"/>
      <c r="AE375" s="2"/>
      <c r="AG375" s="2"/>
    </row>
    <row r="376" customFormat="false" ht="15.75" hidden="false" customHeight="true" outlineLevel="0" collapsed="false">
      <c r="A376" s="2"/>
      <c r="E376" s="2"/>
      <c r="V376" s="2"/>
      <c r="W376" s="2"/>
      <c r="AC376" s="2"/>
      <c r="AD376" s="2"/>
      <c r="AE376" s="2"/>
      <c r="AG376" s="2"/>
    </row>
    <row r="377" customFormat="false" ht="15.75" hidden="false" customHeight="true" outlineLevel="0" collapsed="false">
      <c r="A377" s="2"/>
      <c r="E377" s="2"/>
      <c r="V377" s="2"/>
      <c r="W377" s="2"/>
      <c r="AC377" s="2"/>
      <c r="AD377" s="2"/>
      <c r="AE377" s="2"/>
      <c r="AG377" s="2"/>
    </row>
    <row r="378" customFormat="false" ht="15.75" hidden="false" customHeight="true" outlineLevel="0" collapsed="false">
      <c r="A378" s="2"/>
      <c r="E378" s="2"/>
      <c r="V378" s="2"/>
      <c r="W378" s="2"/>
      <c r="AC378" s="2"/>
      <c r="AD378" s="2"/>
      <c r="AE378" s="2"/>
      <c r="AG378" s="2"/>
    </row>
    <row r="379" customFormat="false" ht="15.75" hidden="false" customHeight="true" outlineLevel="0" collapsed="false">
      <c r="A379" s="2"/>
      <c r="E379" s="2"/>
      <c r="V379" s="2"/>
      <c r="W379" s="2"/>
      <c r="AC379" s="2"/>
      <c r="AD379" s="2"/>
      <c r="AE379" s="2"/>
      <c r="AG379" s="2"/>
    </row>
    <row r="380" customFormat="false" ht="15.75" hidden="false" customHeight="true" outlineLevel="0" collapsed="false">
      <c r="A380" s="2"/>
      <c r="E380" s="2"/>
      <c r="V380" s="2"/>
      <c r="W380" s="2"/>
      <c r="AC380" s="2"/>
      <c r="AD380" s="2"/>
      <c r="AE380" s="2"/>
      <c r="AG380" s="2"/>
    </row>
    <row r="381" customFormat="false" ht="15.75" hidden="false" customHeight="true" outlineLevel="0" collapsed="false">
      <c r="A381" s="2"/>
      <c r="E381" s="2"/>
      <c r="V381" s="2"/>
      <c r="W381" s="2"/>
      <c r="AC381" s="2"/>
      <c r="AD381" s="2"/>
      <c r="AE381" s="2"/>
      <c r="AG381" s="2"/>
    </row>
    <row r="382" customFormat="false" ht="15.75" hidden="false" customHeight="true" outlineLevel="0" collapsed="false">
      <c r="A382" s="2"/>
      <c r="E382" s="2"/>
      <c r="V382" s="2"/>
      <c r="W382" s="2"/>
      <c r="AC382" s="2"/>
      <c r="AD382" s="2"/>
      <c r="AE382" s="2"/>
      <c r="AG382" s="2"/>
    </row>
    <row r="383" customFormat="false" ht="15.75" hidden="false" customHeight="true" outlineLevel="0" collapsed="false">
      <c r="A383" s="2"/>
      <c r="E383" s="2"/>
      <c r="V383" s="2"/>
      <c r="W383" s="2"/>
      <c r="AC383" s="2"/>
      <c r="AD383" s="2"/>
      <c r="AE383" s="2"/>
      <c r="AG383" s="2"/>
    </row>
    <row r="384" customFormat="false" ht="15.75" hidden="false" customHeight="true" outlineLevel="0" collapsed="false">
      <c r="A384" s="2"/>
      <c r="E384" s="2"/>
      <c r="V384" s="2"/>
      <c r="W384" s="2"/>
      <c r="AC384" s="2"/>
      <c r="AD384" s="2"/>
      <c r="AE384" s="2"/>
      <c r="AG384" s="2"/>
    </row>
    <row r="385" customFormat="false" ht="15.75" hidden="false" customHeight="true" outlineLevel="0" collapsed="false">
      <c r="A385" s="2"/>
      <c r="E385" s="2"/>
      <c r="V385" s="2"/>
      <c r="W385" s="2"/>
      <c r="AC385" s="2"/>
      <c r="AD385" s="2"/>
      <c r="AE385" s="2"/>
      <c r="AG385" s="2"/>
    </row>
    <row r="386" customFormat="false" ht="15.75" hidden="false" customHeight="true" outlineLevel="0" collapsed="false">
      <c r="A386" s="2"/>
      <c r="E386" s="2"/>
      <c r="V386" s="2"/>
      <c r="W386" s="2"/>
      <c r="AC386" s="2"/>
      <c r="AD386" s="2"/>
      <c r="AE386" s="2"/>
      <c r="AG386" s="2"/>
    </row>
    <row r="387" customFormat="false" ht="15.75" hidden="false" customHeight="true" outlineLevel="0" collapsed="false">
      <c r="A387" s="2"/>
      <c r="E387" s="2"/>
      <c r="V387" s="2"/>
      <c r="W387" s="2"/>
      <c r="AC387" s="2"/>
      <c r="AD387" s="2"/>
      <c r="AE387" s="2"/>
      <c r="AG387" s="2"/>
    </row>
    <row r="388" customFormat="false" ht="15.75" hidden="false" customHeight="true" outlineLevel="0" collapsed="false">
      <c r="A388" s="2"/>
      <c r="E388" s="2"/>
      <c r="V388" s="2"/>
      <c r="W388" s="2"/>
      <c r="AC388" s="2"/>
      <c r="AD388" s="2"/>
      <c r="AE388" s="2"/>
      <c r="AG388" s="2"/>
    </row>
    <row r="389" customFormat="false" ht="15.75" hidden="false" customHeight="true" outlineLevel="0" collapsed="false">
      <c r="A389" s="2"/>
      <c r="E389" s="2"/>
      <c r="V389" s="2"/>
      <c r="W389" s="2"/>
      <c r="AC389" s="2"/>
      <c r="AD389" s="2"/>
      <c r="AE389" s="2"/>
      <c r="AG389" s="2"/>
    </row>
    <row r="390" customFormat="false" ht="15.75" hidden="false" customHeight="true" outlineLevel="0" collapsed="false">
      <c r="A390" s="2"/>
      <c r="E390" s="2"/>
      <c r="V390" s="2"/>
      <c r="W390" s="2"/>
      <c r="AC390" s="2"/>
      <c r="AD390" s="2"/>
      <c r="AE390" s="2"/>
      <c r="AG390" s="2"/>
    </row>
    <row r="391" customFormat="false" ht="15.75" hidden="false" customHeight="true" outlineLevel="0" collapsed="false">
      <c r="A391" s="2"/>
      <c r="E391" s="2"/>
      <c r="V391" s="2"/>
      <c r="W391" s="2"/>
      <c r="AC391" s="2"/>
      <c r="AD391" s="2"/>
      <c r="AE391" s="2"/>
      <c r="AG391" s="2"/>
    </row>
    <row r="392" customFormat="false" ht="15.75" hidden="false" customHeight="true" outlineLevel="0" collapsed="false">
      <c r="A392" s="2"/>
      <c r="E392" s="2"/>
      <c r="V392" s="2"/>
      <c r="W392" s="2"/>
      <c r="AC392" s="2"/>
      <c r="AD392" s="2"/>
      <c r="AE392" s="2"/>
      <c r="AG392" s="2"/>
    </row>
    <row r="393" customFormat="false" ht="15.75" hidden="false" customHeight="true" outlineLevel="0" collapsed="false">
      <c r="A393" s="2"/>
      <c r="E393" s="2"/>
      <c r="V393" s="2"/>
      <c r="W393" s="2"/>
      <c r="AC393" s="2"/>
      <c r="AD393" s="2"/>
      <c r="AE393" s="2"/>
      <c r="AG393" s="2"/>
    </row>
    <row r="394" customFormat="false" ht="15.75" hidden="false" customHeight="true" outlineLevel="0" collapsed="false">
      <c r="A394" s="2"/>
      <c r="E394" s="2"/>
      <c r="V394" s="2"/>
      <c r="W394" s="2"/>
      <c r="AC394" s="2"/>
      <c r="AD394" s="2"/>
      <c r="AE394" s="2"/>
      <c r="AG394" s="2"/>
    </row>
    <row r="395" customFormat="false" ht="15.75" hidden="false" customHeight="true" outlineLevel="0" collapsed="false">
      <c r="A395" s="2"/>
      <c r="E395" s="2"/>
      <c r="V395" s="2"/>
      <c r="W395" s="2"/>
      <c r="AC395" s="2"/>
      <c r="AD395" s="2"/>
      <c r="AE395" s="2"/>
      <c r="AG395" s="2"/>
    </row>
    <row r="396" customFormat="false" ht="15.75" hidden="false" customHeight="true" outlineLevel="0" collapsed="false">
      <c r="A396" s="2"/>
      <c r="E396" s="2"/>
      <c r="V396" s="2"/>
      <c r="W396" s="2"/>
      <c r="AC396" s="2"/>
      <c r="AD396" s="2"/>
      <c r="AE396" s="2"/>
      <c r="AG396" s="2"/>
    </row>
    <row r="397" customFormat="false" ht="15.75" hidden="false" customHeight="true" outlineLevel="0" collapsed="false">
      <c r="A397" s="2"/>
      <c r="E397" s="2"/>
      <c r="V397" s="2"/>
      <c r="W397" s="2"/>
      <c r="AC397" s="2"/>
      <c r="AD397" s="2"/>
      <c r="AE397" s="2"/>
      <c r="AG397" s="2"/>
    </row>
    <row r="398" customFormat="false" ht="15.75" hidden="false" customHeight="true" outlineLevel="0" collapsed="false">
      <c r="A398" s="2"/>
      <c r="E398" s="2"/>
      <c r="V398" s="2"/>
      <c r="W398" s="2"/>
      <c r="AC398" s="2"/>
      <c r="AD398" s="2"/>
      <c r="AE398" s="2"/>
      <c r="AG398" s="2"/>
    </row>
    <row r="399" customFormat="false" ht="15.75" hidden="false" customHeight="true" outlineLevel="0" collapsed="false">
      <c r="A399" s="2"/>
      <c r="E399" s="2"/>
      <c r="V399" s="2"/>
      <c r="W399" s="2"/>
      <c r="AC399" s="2"/>
      <c r="AD399" s="2"/>
      <c r="AE399" s="2"/>
      <c r="AG399" s="2"/>
    </row>
    <row r="400" customFormat="false" ht="15.75" hidden="false" customHeight="true" outlineLevel="0" collapsed="false">
      <c r="A400" s="2"/>
      <c r="E400" s="2"/>
      <c r="V400" s="2"/>
      <c r="W400" s="2"/>
      <c r="AC400" s="2"/>
      <c r="AD400" s="2"/>
      <c r="AE400" s="2"/>
      <c r="AG400" s="2"/>
    </row>
    <row r="401" customFormat="false" ht="15.75" hidden="false" customHeight="true" outlineLevel="0" collapsed="false">
      <c r="A401" s="2"/>
      <c r="E401" s="2"/>
      <c r="V401" s="2"/>
      <c r="W401" s="2"/>
      <c r="AC401" s="2"/>
      <c r="AD401" s="2"/>
      <c r="AE401" s="2"/>
      <c r="AG401" s="2"/>
    </row>
    <row r="402" customFormat="false" ht="15.75" hidden="false" customHeight="true" outlineLevel="0" collapsed="false">
      <c r="A402" s="2"/>
      <c r="E402" s="2"/>
      <c r="V402" s="2"/>
      <c r="W402" s="2"/>
      <c r="AC402" s="2"/>
      <c r="AD402" s="2"/>
      <c r="AE402" s="2"/>
      <c r="AG402" s="2"/>
    </row>
    <row r="403" customFormat="false" ht="15.75" hidden="false" customHeight="true" outlineLevel="0" collapsed="false">
      <c r="A403" s="2"/>
      <c r="E403" s="2"/>
      <c r="V403" s="2"/>
      <c r="W403" s="2"/>
      <c r="AC403" s="2"/>
      <c r="AD403" s="2"/>
      <c r="AE403" s="2"/>
      <c r="AG403" s="2"/>
    </row>
    <row r="404" customFormat="false" ht="15.75" hidden="false" customHeight="true" outlineLevel="0" collapsed="false">
      <c r="A404" s="2"/>
      <c r="E404" s="2"/>
      <c r="V404" s="2"/>
      <c r="W404" s="2"/>
      <c r="AC404" s="2"/>
      <c r="AD404" s="2"/>
      <c r="AE404" s="2"/>
      <c r="AG404" s="2"/>
    </row>
    <row r="405" customFormat="false" ht="15.75" hidden="false" customHeight="true" outlineLevel="0" collapsed="false">
      <c r="A405" s="2"/>
      <c r="E405" s="2"/>
      <c r="V405" s="2"/>
      <c r="W405" s="2"/>
      <c r="AC405" s="2"/>
      <c r="AD405" s="2"/>
      <c r="AE405" s="2"/>
      <c r="AG405" s="2"/>
    </row>
    <row r="406" customFormat="false" ht="15.75" hidden="false" customHeight="true" outlineLevel="0" collapsed="false">
      <c r="A406" s="2"/>
      <c r="E406" s="2"/>
      <c r="V406" s="2"/>
      <c r="W406" s="2"/>
      <c r="AC406" s="2"/>
      <c r="AD406" s="2"/>
      <c r="AE406" s="2"/>
      <c r="AG406" s="2"/>
    </row>
    <row r="407" customFormat="false" ht="15.75" hidden="false" customHeight="true" outlineLevel="0" collapsed="false">
      <c r="A407" s="2"/>
      <c r="E407" s="2"/>
      <c r="V407" s="2"/>
      <c r="W407" s="2"/>
      <c r="AC407" s="2"/>
      <c r="AD407" s="2"/>
      <c r="AE407" s="2"/>
      <c r="AG407" s="2"/>
    </row>
    <row r="408" customFormat="false" ht="15.75" hidden="false" customHeight="true" outlineLevel="0" collapsed="false">
      <c r="A408" s="2"/>
      <c r="E408" s="2"/>
      <c r="V408" s="2"/>
      <c r="W408" s="2"/>
      <c r="AC408" s="2"/>
      <c r="AD408" s="2"/>
      <c r="AE408" s="2"/>
      <c r="AG408" s="2"/>
    </row>
    <row r="409" customFormat="false" ht="15.75" hidden="false" customHeight="true" outlineLevel="0" collapsed="false">
      <c r="A409" s="2"/>
      <c r="E409" s="2"/>
      <c r="V409" s="2"/>
      <c r="W409" s="2"/>
      <c r="AC409" s="2"/>
      <c r="AD409" s="2"/>
      <c r="AE409" s="2"/>
      <c r="AG409" s="2"/>
    </row>
    <row r="410" customFormat="false" ht="15.75" hidden="false" customHeight="true" outlineLevel="0" collapsed="false">
      <c r="A410" s="2"/>
      <c r="E410" s="2"/>
      <c r="V410" s="2"/>
      <c r="W410" s="2"/>
      <c r="AC410" s="2"/>
      <c r="AD410" s="2"/>
      <c r="AE410" s="2"/>
      <c r="AG410" s="2"/>
    </row>
    <row r="411" customFormat="false" ht="15.75" hidden="false" customHeight="true" outlineLevel="0" collapsed="false">
      <c r="A411" s="2"/>
      <c r="E411" s="2"/>
      <c r="V411" s="2"/>
      <c r="W411" s="2"/>
      <c r="AC411" s="2"/>
      <c r="AD411" s="2"/>
      <c r="AE411" s="2"/>
      <c r="AG411" s="2"/>
    </row>
    <row r="412" customFormat="false" ht="15.75" hidden="false" customHeight="true" outlineLevel="0" collapsed="false">
      <c r="A412" s="2"/>
      <c r="E412" s="2"/>
      <c r="V412" s="2"/>
      <c r="W412" s="2"/>
      <c r="AC412" s="2"/>
      <c r="AD412" s="2"/>
      <c r="AE412" s="2"/>
      <c r="AG412" s="2"/>
    </row>
    <row r="413" customFormat="false" ht="15.75" hidden="false" customHeight="true" outlineLevel="0" collapsed="false">
      <c r="A413" s="2"/>
      <c r="E413" s="2"/>
      <c r="V413" s="2"/>
      <c r="W413" s="2"/>
      <c r="AC413" s="2"/>
      <c r="AD413" s="2"/>
      <c r="AE413" s="2"/>
      <c r="AG413" s="2"/>
    </row>
    <row r="414" customFormat="false" ht="15.75" hidden="false" customHeight="true" outlineLevel="0" collapsed="false">
      <c r="A414" s="2"/>
      <c r="E414" s="2"/>
      <c r="V414" s="2"/>
      <c r="W414" s="2"/>
      <c r="AC414" s="2"/>
      <c r="AD414" s="2"/>
      <c r="AE414" s="2"/>
      <c r="AG414" s="2"/>
    </row>
    <row r="415" customFormat="false" ht="15.75" hidden="false" customHeight="true" outlineLevel="0" collapsed="false">
      <c r="A415" s="2"/>
      <c r="E415" s="2"/>
      <c r="V415" s="2"/>
      <c r="W415" s="2"/>
      <c r="AC415" s="2"/>
      <c r="AD415" s="2"/>
      <c r="AE415" s="2"/>
      <c r="AG415" s="2"/>
    </row>
    <row r="416" customFormat="false" ht="15.75" hidden="false" customHeight="true" outlineLevel="0" collapsed="false">
      <c r="A416" s="2"/>
      <c r="E416" s="2"/>
      <c r="V416" s="2"/>
      <c r="W416" s="2"/>
      <c r="AC416" s="2"/>
      <c r="AD416" s="2"/>
      <c r="AE416" s="2"/>
      <c r="AG416" s="2"/>
    </row>
    <row r="417" customFormat="false" ht="15.75" hidden="false" customHeight="true" outlineLevel="0" collapsed="false">
      <c r="A417" s="2"/>
      <c r="E417" s="2"/>
      <c r="V417" s="2"/>
      <c r="W417" s="2"/>
      <c r="AC417" s="2"/>
      <c r="AD417" s="2"/>
      <c r="AE417" s="2"/>
      <c r="AG417" s="2"/>
    </row>
    <row r="418" customFormat="false" ht="15.75" hidden="false" customHeight="true" outlineLevel="0" collapsed="false">
      <c r="A418" s="2"/>
      <c r="E418" s="2"/>
      <c r="V418" s="2"/>
      <c r="W418" s="2"/>
      <c r="AC418" s="2"/>
      <c r="AD418" s="2"/>
      <c r="AE418" s="2"/>
      <c r="AG418" s="2"/>
    </row>
    <row r="419" customFormat="false" ht="15.75" hidden="false" customHeight="true" outlineLevel="0" collapsed="false">
      <c r="A419" s="2"/>
      <c r="E419" s="2"/>
      <c r="V419" s="2"/>
      <c r="W419" s="2"/>
      <c r="AC419" s="2"/>
      <c r="AD419" s="2"/>
      <c r="AE419" s="2"/>
      <c r="AG419" s="2"/>
    </row>
    <row r="420" customFormat="false" ht="15.75" hidden="false" customHeight="true" outlineLevel="0" collapsed="false">
      <c r="A420" s="2"/>
      <c r="E420" s="2"/>
      <c r="V420" s="2"/>
      <c r="W420" s="2"/>
      <c r="AC420" s="2"/>
      <c r="AD420" s="2"/>
      <c r="AE420" s="2"/>
      <c r="AG420" s="2"/>
    </row>
    <row r="421" customFormat="false" ht="15.75" hidden="false" customHeight="true" outlineLevel="0" collapsed="false">
      <c r="A421" s="2"/>
      <c r="E421" s="2"/>
      <c r="V421" s="2"/>
      <c r="W421" s="2"/>
      <c r="AC421" s="2"/>
      <c r="AD421" s="2"/>
      <c r="AE421" s="2"/>
      <c r="AG421" s="2"/>
    </row>
    <row r="422" customFormat="false" ht="15.75" hidden="false" customHeight="true" outlineLevel="0" collapsed="false">
      <c r="A422" s="2"/>
      <c r="E422" s="2"/>
      <c r="V422" s="2"/>
      <c r="W422" s="2"/>
      <c r="AC422" s="2"/>
      <c r="AD422" s="2"/>
      <c r="AE422" s="2"/>
      <c r="AG422" s="2"/>
    </row>
    <row r="423" customFormat="false" ht="15.75" hidden="false" customHeight="true" outlineLevel="0" collapsed="false">
      <c r="A423" s="2"/>
      <c r="E423" s="2"/>
      <c r="V423" s="2"/>
      <c r="W423" s="2"/>
      <c r="AC423" s="2"/>
      <c r="AD423" s="2"/>
      <c r="AE423" s="2"/>
      <c r="AG423" s="2"/>
    </row>
    <row r="424" customFormat="false" ht="15.75" hidden="false" customHeight="true" outlineLevel="0" collapsed="false">
      <c r="A424" s="2"/>
      <c r="E424" s="2"/>
      <c r="V424" s="2"/>
      <c r="W424" s="2"/>
      <c r="AC424" s="2"/>
      <c r="AD424" s="2"/>
      <c r="AE424" s="2"/>
      <c r="AG424" s="2"/>
    </row>
    <row r="425" customFormat="false" ht="15.75" hidden="false" customHeight="true" outlineLevel="0" collapsed="false">
      <c r="A425" s="2"/>
      <c r="E425" s="2"/>
      <c r="V425" s="2"/>
      <c r="W425" s="2"/>
      <c r="AC425" s="2"/>
      <c r="AD425" s="2"/>
      <c r="AE425" s="2"/>
      <c r="AG425" s="2"/>
    </row>
    <row r="426" customFormat="false" ht="15.75" hidden="false" customHeight="true" outlineLevel="0" collapsed="false">
      <c r="A426" s="2"/>
      <c r="E426" s="2"/>
      <c r="V426" s="2"/>
      <c r="W426" s="2"/>
      <c r="AC426" s="2"/>
      <c r="AD426" s="2"/>
      <c r="AE426" s="2"/>
      <c r="AG426" s="2"/>
    </row>
    <row r="427" customFormat="false" ht="15.75" hidden="false" customHeight="true" outlineLevel="0" collapsed="false">
      <c r="A427" s="2"/>
      <c r="E427" s="2"/>
      <c r="V427" s="2"/>
      <c r="W427" s="2"/>
      <c r="AC427" s="2"/>
      <c r="AD427" s="2"/>
      <c r="AE427" s="2"/>
      <c r="AG427" s="2"/>
    </row>
    <row r="428" customFormat="false" ht="15.75" hidden="false" customHeight="true" outlineLevel="0" collapsed="false">
      <c r="A428" s="2"/>
      <c r="E428" s="2"/>
      <c r="V428" s="2"/>
      <c r="W428" s="2"/>
      <c r="AC428" s="2"/>
      <c r="AD428" s="2"/>
      <c r="AE428" s="2"/>
      <c r="AG428" s="2"/>
    </row>
    <row r="429" customFormat="false" ht="15.75" hidden="false" customHeight="true" outlineLevel="0" collapsed="false">
      <c r="A429" s="2"/>
      <c r="E429" s="2"/>
      <c r="V429" s="2"/>
      <c r="W429" s="2"/>
      <c r="AC429" s="2"/>
      <c r="AD429" s="2"/>
      <c r="AE429" s="2"/>
      <c r="AG429" s="2"/>
    </row>
    <row r="430" customFormat="false" ht="15.75" hidden="false" customHeight="true" outlineLevel="0" collapsed="false">
      <c r="A430" s="2"/>
      <c r="E430" s="2"/>
      <c r="V430" s="2"/>
      <c r="W430" s="2"/>
      <c r="AC430" s="2"/>
      <c r="AD430" s="2"/>
      <c r="AE430" s="2"/>
      <c r="AG430" s="2"/>
    </row>
    <row r="431" customFormat="false" ht="15.75" hidden="false" customHeight="true" outlineLevel="0" collapsed="false">
      <c r="A431" s="2"/>
      <c r="E431" s="2"/>
      <c r="V431" s="2"/>
      <c r="W431" s="2"/>
      <c r="AC431" s="2"/>
      <c r="AD431" s="2"/>
      <c r="AE431" s="2"/>
      <c r="AG431" s="2"/>
    </row>
    <row r="432" customFormat="false" ht="15.75" hidden="false" customHeight="true" outlineLevel="0" collapsed="false">
      <c r="A432" s="2"/>
      <c r="E432" s="2"/>
      <c r="V432" s="2"/>
      <c r="W432" s="2"/>
      <c r="AC432" s="2"/>
      <c r="AD432" s="2"/>
      <c r="AE432" s="2"/>
      <c r="AG432" s="2"/>
    </row>
    <row r="433" customFormat="false" ht="15.75" hidden="false" customHeight="true" outlineLevel="0" collapsed="false">
      <c r="A433" s="2"/>
      <c r="E433" s="2"/>
      <c r="V433" s="2"/>
      <c r="W433" s="2"/>
      <c r="AC433" s="2"/>
      <c r="AD433" s="2"/>
      <c r="AE433" s="2"/>
      <c r="AG433" s="2"/>
    </row>
    <row r="434" customFormat="false" ht="15.75" hidden="false" customHeight="true" outlineLevel="0" collapsed="false">
      <c r="A434" s="2"/>
      <c r="E434" s="2"/>
      <c r="V434" s="2"/>
      <c r="W434" s="2"/>
      <c r="AC434" s="2"/>
      <c r="AD434" s="2"/>
      <c r="AE434" s="2"/>
      <c r="AG434" s="2"/>
    </row>
    <row r="435" customFormat="false" ht="15.75" hidden="false" customHeight="true" outlineLevel="0" collapsed="false">
      <c r="A435" s="2"/>
      <c r="E435" s="2"/>
      <c r="V435" s="2"/>
      <c r="W435" s="2"/>
      <c r="AC435" s="2"/>
      <c r="AD435" s="2"/>
      <c r="AE435" s="2"/>
      <c r="AG435" s="2"/>
    </row>
    <row r="436" customFormat="false" ht="15.75" hidden="false" customHeight="true" outlineLevel="0" collapsed="false">
      <c r="A436" s="2"/>
      <c r="E436" s="2"/>
      <c r="V436" s="2"/>
      <c r="W436" s="2"/>
      <c r="AC436" s="2"/>
      <c r="AD436" s="2"/>
      <c r="AE436" s="2"/>
      <c r="AG436" s="2"/>
    </row>
    <row r="437" customFormat="false" ht="15.75" hidden="false" customHeight="true" outlineLevel="0" collapsed="false">
      <c r="A437" s="2"/>
      <c r="E437" s="2"/>
      <c r="V437" s="2"/>
      <c r="W437" s="2"/>
      <c r="AC437" s="2"/>
      <c r="AD437" s="2"/>
      <c r="AE437" s="2"/>
      <c r="AG437" s="2"/>
    </row>
    <row r="438" customFormat="false" ht="15.75" hidden="false" customHeight="true" outlineLevel="0" collapsed="false">
      <c r="A438" s="2"/>
      <c r="E438" s="2"/>
      <c r="V438" s="2"/>
      <c r="W438" s="2"/>
      <c r="AC438" s="2"/>
      <c r="AD438" s="2"/>
      <c r="AE438" s="2"/>
      <c r="AG438" s="2"/>
    </row>
    <row r="439" customFormat="false" ht="15.75" hidden="false" customHeight="true" outlineLevel="0" collapsed="false">
      <c r="A439" s="2"/>
      <c r="E439" s="2"/>
      <c r="V439" s="2"/>
      <c r="W439" s="2"/>
      <c r="AC439" s="2"/>
      <c r="AD439" s="2"/>
      <c r="AE439" s="2"/>
      <c r="AG439" s="2"/>
    </row>
    <row r="440" customFormat="false" ht="15.75" hidden="false" customHeight="true" outlineLevel="0" collapsed="false">
      <c r="A440" s="2"/>
      <c r="E440" s="2"/>
      <c r="V440" s="2"/>
      <c r="W440" s="2"/>
      <c r="AC440" s="2"/>
      <c r="AD440" s="2"/>
      <c r="AE440" s="2"/>
      <c r="AG440" s="2"/>
    </row>
    <row r="441" customFormat="false" ht="15.75" hidden="false" customHeight="true" outlineLevel="0" collapsed="false">
      <c r="A441" s="2"/>
      <c r="E441" s="2"/>
      <c r="V441" s="2"/>
      <c r="W441" s="2"/>
      <c r="AC441" s="2"/>
      <c r="AD441" s="2"/>
      <c r="AE441" s="2"/>
      <c r="AG441" s="2"/>
    </row>
    <row r="442" customFormat="false" ht="15.75" hidden="false" customHeight="true" outlineLevel="0" collapsed="false">
      <c r="A442" s="2"/>
      <c r="E442" s="2"/>
      <c r="V442" s="2"/>
      <c r="W442" s="2"/>
      <c r="AC442" s="2"/>
      <c r="AD442" s="2"/>
      <c r="AE442" s="2"/>
      <c r="AG442" s="2"/>
    </row>
    <row r="443" customFormat="false" ht="15.75" hidden="false" customHeight="true" outlineLevel="0" collapsed="false">
      <c r="A443" s="2"/>
      <c r="E443" s="2"/>
      <c r="V443" s="2"/>
      <c r="W443" s="2"/>
      <c r="AC443" s="2"/>
      <c r="AD443" s="2"/>
      <c r="AE443" s="2"/>
      <c r="AG443" s="2"/>
    </row>
    <row r="444" customFormat="false" ht="15.75" hidden="false" customHeight="true" outlineLevel="0" collapsed="false">
      <c r="A444" s="2"/>
      <c r="E444" s="2"/>
      <c r="V444" s="2"/>
      <c r="W444" s="2"/>
      <c r="AC444" s="2"/>
      <c r="AD444" s="2"/>
      <c r="AE444" s="2"/>
      <c r="AG444" s="2"/>
    </row>
    <row r="445" customFormat="false" ht="15.75" hidden="false" customHeight="true" outlineLevel="0" collapsed="false">
      <c r="A445" s="2"/>
      <c r="E445" s="2"/>
      <c r="V445" s="2"/>
      <c r="W445" s="2"/>
      <c r="AC445" s="2"/>
      <c r="AD445" s="2"/>
      <c r="AE445" s="2"/>
      <c r="AG445" s="2"/>
    </row>
    <row r="446" customFormat="false" ht="15.75" hidden="false" customHeight="true" outlineLevel="0" collapsed="false">
      <c r="A446" s="2"/>
      <c r="E446" s="2"/>
      <c r="V446" s="2"/>
      <c r="W446" s="2"/>
      <c r="AC446" s="2"/>
      <c r="AD446" s="2"/>
      <c r="AE446" s="2"/>
      <c r="AG446" s="2"/>
    </row>
    <row r="447" customFormat="false" ht="15.75" hidden="false" customHeight="true" outlineLevel="0" collapsed="false">
      <c r="A447" s="2"/>
      <c r="E447" s="2"/>
      <c r="V447" s="2"/>
      <c r="W447" s="2"/>
      <c r="AC447" s="2"/>
      <c r="AD447" s="2"/>
      <c r="AE447" s="2"/>
      <c r="AG447" s="2"/>
    </row>
    <row r="448" customFormat="false" ht="15.75" hidden="false" customHeight="true" outlineLevel="0" collapsed="false">
      <c r="A448" s="2"/>
      <c r="E448" s="2"/>
      <c r="V448" s="2"/>
      <c r="W448" s="2"/>
      <c r="AC448" s="2"/>
      <c r="AD448" s="2"/>
      <c r="AE448" s="2"/>
      <c r="AG448" s="2"/>
    </row>
    <row r="449" customFormat="false" ht="15.75" hidden="false" customHeight="true" outlineLevel="0" collapsed="false">
      <c r="A449" s="2"/>
      <c r="E449" s="2"/>
      <c r="V449" s="2"/>
      <c r="W449" s="2"/>
      <c r="AC449" s="2"/>
      <c r="AD449" s="2"/>
      <c r="AE449" s="2"/>
      <c r="AG449" s="2"/>
    </row>
    <row r="450" customFormat="false" ht="15.75" hidden="false" customHeight="true" outlineLevel="0" collapsed="false">
      <c r="A450" s="2"/>
      <c r="E450" s="2"/>
      <c r="V450" s="2"/>
      <c r="W450" s="2"/>
      <c r="AC450" s="2"/>
      <c r="AD450" s="2"/>
      <c r="AE450" s="2"/>
      <c r="AG450" s="2"/>
    </row>
    <row r="451" customFormat="false" ht="15.75" hidden="false" customHeight="true" outlineLevel="0" collapsed="false">
      <c r="A451" s="2"/>
      <c r="E451" s="2"/>
      <c r="V451" s="2"/>
      <c r="W451" s="2"/>
      <c r="AC451" s="2"/>
      <c r="AD451" s="2"/>
      <c r="AE451" s="2"/>
      <c r="AG451" s="2"/>
    </row>
    <row r="452" customFormat="false" ht="15.75" hidden="false" customHeight="true" outlineLevel="0" collapsed="false">
      <c r="A452" s="2"/>
      <c r="E452" s="2"/>
      <c r="V452" s="2"/>
      <c r="W452" s="2"/>
      <c r="AC452" s="2"/>
      <c r="AD452" s="2"/>
      <c r="AE452" s="2"/>
      <c r="AG452" s="2"/>
    </row>
    <row r="453" customFormat="false" ht="15.75" hidden="false" customHeight="true" outlineLevel="0" collapsed="false">
      <c r="A453" s="2"/>
      <c r="E453" s="2"/>
      <c r="V453" s="2"/>
      <c r="W453" s="2"/>
      <c r="AC453" s="2"/>
      <c r="AD453" s="2"/>
      <c r="AE453" s="2"/>
      <c r="AG453" s="2"/>
    </row>
    <row r="454" customFormat="false" ht="15.75" hidden="false" customHeight="true" outlineLevel="0" collapsed="false">
      <c r="A454" s="2"/>
      <c r="E454" s="2"/>
      <c r="V454" s="2"/>
      <c r="W454" s="2"/>
      <c r="AC454" s="2"/>
      <c r="AD454" s="2"/>
      <c r="AE454" s="2"/>
      <c r="AG454" s="2"/>
    </row>
    <row r="455" customFormat="false" ht="15.75" hidden="false" customHeight="true" outlineLevel="0" collapsed="false">
      <c r="A455" s="2"/>
      <c r="E455" s="2"/>
      <c r="V455" s="2"/>
      <c r="W455" s="2"/>
      <c r="AC455" s="2"/>
      <c r="AD455" s="2"/>
      <c r="AE455" s="2"/>
      <c r="AG455" s="2"/>
    </row>
    <row r="456" customFormat="false" ht="15.75" hidden="false" customHeight="true" outlineLevel="0" collapsed="false">
      <c r="A456" s="2"/>
      <c r="E456" s="2"/>
      <c r="V456" s="2"/>
      <c r="W456" s="2"/>
      <c r="AC456" s="2"/>
      <c r="AD456" s="2"/>
      <c r="AE456" s="2"/>
      <c r="AG456" s="2"/>
    </row>
    <row r="457" customFormat="false" ht="15.75" hidden="false" customHeight="true" outlineLevel="0" collapsed="false">
      <c r="A457" s="2"/>
      <c r="E457" s="2"/>
      <c r="V457" s="2"/>
      <c r="W457" s="2"/>
      <c r="AC457" s="2"/>
      <c r="AD457" s="2"/>
      <c r="AE457" s="2"/>
      <c r="AG457" s="2"/>
    </row>
    <row r="458" customFormat="false" ht="15.75" hidden="false" customHeight="true" outlineLevel="0" collapsed="false">
      <c r="A458" s="2"/>
      <c r="E458" s="2"/>
      <c r="V458" s="2"/>
      <c r="W458" s="2"/>
      <c r="AC458" s="2"/>
      <c r="AD458" s="2"/>
      <c r="AE458" s="2"/>
      <c r="AG458" s="2"/>
    </row>
    <row r="459" customFormat="false" ht="15.75" hidden="false" customHeight="true" outlineLevel="0" collapsed="false">
      <c r="A459" s="2"/>
      <c r="E459" s="2"/>
      <c r="V459" s="2"/>
      <c r="W459" s="2"/>
      <c r="AC459" s="2"/>
      <c r="AD459" s="2"/>
      <c r="AE459" s="2"/>
      <c r="AG459" s="2"/>
    </row>
    <row r="460" customFormat="false" ht="15.75" hidden="false" customHeight="true" outlineLevel="0" collapsed="false">
      <c r="A460" s="2"/>
      <c r="E460" s="2"/>
      <c r="V460" s="2"/>
      <c r="W460" s="2"/>
      <c r="AC460" s="2"/>
      <c r="AD460" s="2"/>
      <c r="AE460" s="2"/>
      <c r="AG460" s="2"/>
    </row>
    <row r="461" customFormat="false" ht="15.75" hidden="false" customHeight="true" outlineLevel="0" collapsed="false">
      <c r="A461" s="2"/>
      <c r="E461" s="2"/>
      <c r="V461" s="2"/>
      <c r="W461" s="2"/>
      <c r="AC461" s="2"/>
      <c r="AD461" s="2"/>
      <c r="AE461" s="2"/>
      <c r="AG461" s="2"/>
    </row>
    <row r="462" customFormat="false" ht="15.75" hidden="false" customHeight="true" outlineLevel="0" collapsed="false">
      <c r="A462" s="2"/>
      <c r="E462" s="2"/>
      <c r="V462" s="2"/>
      <c r="W462" s="2"/>
      <c r="AC462" s="2"/>
      <c r="AD462" s="2"/>
      <c r="AE462" s="2"/>
      <c r="AG462" s="2"/>
    </row>
    <row r="463" customFormat="false" ht="15.75" hidden="false" customHeight="true" outlineLevel="0" collapsed="false">
      <c r="A463" s="2"/>
      <c r="E463" s="2"/>
      <c r="V463" s="2"/>
      <c r="W463" s="2"/>
      <c r="AC463" s="2"/>
      <c r="AD463" s="2"/>
      <c r="AE463" s="2"/>
      <c r="AG463" s="2"/>
    </row>
    <row r="464" customFormat="false" ht="15.75" hidden="false" customHeight="true" outlineLevel="0" collapsed="false">
      <c r="A464" s="2"/>
      <c r="E464" s="2"/>
      <c r="V464" s="2"/>
      <c r="W464" s="2"/>
      <c r="AC464" s="2"/>
      <c r="AD464" s="2"/>
      <c r="AE464" s="2"/>
      <c r="AG464" s="2"/>
    </row>
    <row r="465" customFormat="false" ht="15.75" hidden="false" customHeight="true" outlineLevel="0" collapsed="false">
      <c r="A465" s="2"/>
      <c r="E465" s="2"/>
      <c r="V465" s="2"/>
      <c r="W465" s="2"/>
      <c r="AC465" s="2"/>
      <c r="AD465" s="2"/>
      <c r="AE465" s="2"/>
      <c r="AG465" s="2"/>
    </row>
    <row r="466" customFormat="false" ht="15.75" hidden="false" customHeight="true" outlineLevel="0" collapsed="false">
      <c r="A466" s="2"/>
      <c r="E466" s="2"/>
      <c r="V466" s="2"/>
      <c r="W466" s="2"/>
      <c r="AC466" s="2"/>
      <c r="AD466" s="2"/>
      <c r="AE466" s="2"/>
      <c r="AG466" s="2"/>
    </row>
    <row r="467" customFormat="false" ht="15.75" hidden="false" customHeight="true" outlineLevel="0" collapsed="false">
      <c r="A467" s="2"/>
      <c r="E467" s="2"/>
      <c r="V467" s="2"/>
      <c r="W467" s="2"/>
      <c r="AC467" s="2"/>
      <c r="AD467" s="2"/>
      <c r="AE467" s="2"/>
      <c r="AG467" s="2"/>
    </row>
    <row r="468" customFormat="false" ht="15.75" hidden="false" customHeight="true" outlineLevel="0" collapsed="false">
      <c r="A468" s="2"/>
      <c r="E468" s="2"/>
      <c r="V468" s="2"/>
      <c r="W468" s="2"/>
      <c r="AC468" s="2"/>
      <c r="AD468" s="2"/>
      <c r="AE468" s="2"/>
      <c r="AG468" s="2"/>
    </row>
    <row r="469" customFormat="false" ht="15.75" hidden="false" customHeight="true" outlineLevel="0" collapsed="false">
      <c r="A469" s="2"/>
      <c r="E469" s="2"/>
      <c r="V469" s="2"/>
      <c r="W469" s="2"/>
      <c r="AC469" s="2"/>
      <c r="AD469" s="2"/>
      <c r="AE469" s="2"/>
      <c r="AG469" s="2"/>
    </row>
    <row r="470" customFormat="false" ht="15.75" hidden="false" customHeight="true" outlineLevel="0" collapsed="false">
      <c r="A470" s="2"/>
      <c r="E470" s="2"/>
      <c r="V470" s="2"/>
      <c r="W470" s="2"/>
      <c r="AC470" s="2"/>
      <c r="AD470" s="2"/>
      <c r="AE470" s="2"/>
      <c r="AG470" s="2"/>
    </row>
    <row r="471" customFormat="false" ht="15.75" hidden="false" customHeight="true" outlineLevel="0" collapsed="false">
      <c r="A471" s="2"/>
      <c r="E471" s="2"/>
      <c r="V471" s="2"/>
      <c r="W471" s="2"/>
      <c r="AC471" s="2"/>
      <c r="AD471" s="2"/>
      <c r="AE471" s="2"/>
      <c r="AG471" s="2"/>
    </row>
    <row r="472" customFormat="false" ht="15" hidden="false" customHeight="false" outlineLevel="0" collapsed="false">
      <c r="A472" s="2"/>
      <c r="E472" s="2"/>
      <c r="V472" s="2"/>
      <c r="W472" s="2"/>
      <c r="AC472" s="2"/>
      <c r="AD472" s="2"/>
      <c r="AE472" s="2"/>
      <c r="AG472" s="2"/>
    </row>
    <row r="473" customFormat="false" ht="15" hidden="false" customHeight="false" outlineLevel="0" collapsed="false">
      <c r="A473" s="2"/>
      <c r="E473" s="2"/>
      <c r="V473" s="2"/>
      <c r="W473" s="2"/>
      <c r="AC473" s="2"/>
      <c r="AD473" s="2"/>
      <c r="AE473" s="2"/>
      <c r="AG473" s="2"/>
    </row>
    <row r="474" customFormat="false" ht="15" hidden="false" customHeight="false" outlineLevel="0" collapsed="false">
      <c r="A474" s="2"/>
      <c r="E474" s="2"/>
      <c r="V474" s="2"/>
      <c r="W474" s="2"/>
      <c r="AC474" s="2"/>
      <c r="AD474" s="2"/>
      <c r="AE474" s="2"/>
      <c r="AG474" s="2"/>
    </row>
    <row r="475" customFormat="false" ht="15" hidden="false" customHeight="false" outlineLevel="0" collapsed="false">
      <c r="A475" s="2"/>
      <c r="E475" s="2"/>
      <c r="V475" s="2"/>
      <c r="W475" s="2"/>
      <c r="AC475" s="2"/>
      <c r="AD475" s="2"/>
      <c r="AE475" s="2"/>
      <c r="AG475" s="2"/>
    </row>
    <row r="476" customFormat="false" ht="15" hidden="false" customHeight="false" outlineLevel="0" collapsed="false">
      <c r="A476" s="2"/>
      <c r="E476" s="2"/>
      <c r="V476" s="2"/>
      <c r="W476" s="2"/>
      <c r="AC476" s="2"/>
      <c r="AD476" s="2"/>
      <c r="AE476" s="2"/>
      <c r="AG476" s="2"/>
    </row>
    <row r="477" customFormat="false" ht="15" hidden="false" customHeight="false" outlineLevel="0" collapsed="false">
      <c r="A477" s="2"/>
      <c r="E477" s="2"/>
      <c r="V477" s="2"/>
      <c r="W477" s="2"/>
      <c r="AC477" s="2"/>
      <c r="AD477" s="2"/>
      <c r="AE477" s="2"/>
      <c r="AG477" s="2"/>
    </row>
    <row r="478" customFormat="false" ht="15" hidden="false" customHeight="false" outlineLevel="0" collapsed="false">
      <c r="A478" s="2"/>
      <c r="E478" s="2"/>
      <c r="V478" s="2"/>
      <c r="W478" s="2"/>
      <c r="AC478" s="2"/>
      <c r="AD478" s="2"/>
      <c r="AE478" s="2"/>
      <c r="AG478" s="2"/>
    </row>
    <row r="479" customFormat="false" ht="15" hidden="false" customHeight="false" outlineLevel="0" collapsed="false">
      <c r="A479" s="2"/>
      <c r="E479" s="2"/>
      <c r="V479" s="2"/>
      <c r="W479" s="2"/>
      <c r="AC479" s="2"/>
      <c r="AD479" s="2"/>
      <c r="AE479" s="2"/>
      <c r="AG479" s="2"/>
    </row>
    <row r="480" customFormat="false" ht="15" hidden="false" customHeight="false" outlineLevel="0" collapsed="false">
      <c r="A480" s="2"/>
      <c r="E480" s="2"/>
      <c r="V480" s="2"/>
      <c r="W480" s="2"/>
      <c r="AC480" s="2"/>
      <c r="AD480" s="2"/>
      <c r="AE480" s="2"/>
      <c r="AG480" s="2"/>
    </row>
    <row r="481" customFormat="false" ht="15" hidden="false" customHeight="false" outlineLevel="0" collapsed="false">
      <c r="A481" s="2"/>
      <c r="E481" s="2"/>
      <c r="V481" s="2"/>
      <c r="W481" s="2"/>
      <c r="AC481" s="2"/>
      <c r="AD481" s="2"/>
      <c r="AE481" s="2"/>
      <c r="AG481" s="2"/>
    </row>
    <row r="482" customFormat="false" ht="15" hidden="false" customHeight="false" outlineLevel="0" collapsed="false">
      <c r="A482" s="2"/>
      <c r="E482" s="2"/>
      <c r="V482" s="2"/>
      <c r="W482" s="2"/>
      <c r="AC482" s="2"/>
      <c r="AD482" s="2"/>
      <c r="AE482" s="2"/>
      <c r="AG482" s="2"/>
    </row>
    <row r="483" customFormat="false" ht="15" hidden="false" customHeight="false" outlineLevel="0" collapsed="false">
      <c r="A483" s="2"/>
      <c r="E483" s="2"/>
      <c r="V483" s="2"/>
      <c r="W483" s="2"/>
      <c r="AC483" s="2"/>
      <c r="AD483" s="2"/>
      <c r="AE483" s="2"/>
      <c r="AG483" s="2"/>
    </row>
    <row r="484" customFormat="false" ht="15" hidden="false" customHeight="false" outlineLevel="0" collapsed="false">
      <c r="A484" s="2"/>
      <c r="E484" s="2"/>
      <c r="V484" s="2"/>
      <c r="W484" s="2"/>
      <c r="AC484" s="2"/>
      <c r="AD484" s="2"/>
      <c r="AE484" s="2"/>
      <c r="AG484" s="2"/>
    </row>
    <row r="485" customFormat="false" ht="15" hidden="false" customHeight="false" outlineLevel="0" collapsed="false">
      <c r="A485" s="2"/>
      <c r="E485" s="2"/>
      <c r="V485" s="2"/>
      <c r="W485" s="2"/>
      <c r="AC485" s="2"/>
      <c r="AD485" s="2"/>
      <c r="AE485" s="2"/>
      <c r="AG485" s="2"/>
    </row>
    <row r="486" customFormat="false" ht="15" hidden="false" customHeight="false" outlineLevel="0" collapsed="false">
      <c r="A486" s="2"/>
      <c r="E486" s="2"/>
      <c r="V486" s="2"/>
      <c r="W486" s="2"/>
      <c r="AC486" s="2"/>
      <c r="AD486" s="2"/>
      <c r="AE486" s="2"/>
      <c r="AG486" s="2"/>
    </row>
    <row r="487" customFormat="false" ht="15" hidden="false" customHeight="false" outlineLevel="0" collapsed="false">
      <c r="A487" s="2"/>
      <c r="E487" s="2"/>
      <c r="V487" s="2"/>
      <c r="W487" s="2"/>
      <c r="AC487" s="2"/>
      <c r="AD487" s="2"/>
      <c r="AE487" s="2"/>
      <c r="AG487" s="2"/>
    </row>
    <row r="488" customFormat="false" ht="15" hidden="false" customHeight="false" outlineLevel="0" collapsed="false">
      <c r="A488" s="2"/>
      <c r="E488" s="2"/>
      <c r="V488" s="2"/>
      <c r="W488" s="2"/>
      <c r="AC488" s="2"/>
      <c r="AD488" s="2"/>
      <c r="AE488" s="2"/>
      <c r="AG488" s="2"/>
    </row>
    <row r="489" customFormat="false" ht="15" hidden="false" customHeight="false" outlineLevel="0" collapsed="false">
      <c r="A489" s="2"/>
      <c r="E489" s="2"/>
      <c r="V489" s="2"/>
      <c r="W489" s="2"/>
      <c r="AC489" s="2"/>
      <c r="AD489" s="2"/>
      <c r="AE489" s="2"/>
      <c r="AG489" s="2"/>
    </row>
    <row r="490" customFormat="false" ht="15" hidden="false" customHeight="false" outlineLevel="0" collapsed="false">
      <c r="A490" s="2"/>
      <c r="E490" s="2"/>
      <c r="V490" s="2"/>
      <c r="W490" s="2"/>
      <c r="AC490" s="2"/>
      <c r="AD490" s="2"/>
      <c r="AE490" s="2"/>
      <c r="AG490" s="2"/>
    </row>
    <row r="491" customFormat="false" ht="15" hidden="false" customHeight="false" outlineLevel="0" collapsed="false">
      <c r="A491" s="2"/>
      <c r="E491" s="2"/>
      <c r="V491" s="2"/>
      <c r="W491" s="2"/>
      <c r="AC491" s="2"/>
      <c r="AD491" s="2"/>
      <c r="AE491" s="2"/>
      <c r="AG491" s="2"/>
    </row>
    <row r="492" customFormat="false" ht="15" hidden="false" customHeight="false" outlineLevel="0" collapsed="false">
      <c r="A492" s="2"/>
      <c r="E492" s="2"/>
      <c r="V492" s="2"/>
      <c r="W492" s="2"/>
      <c r="AC492" s="2"/>
      <c r="AD492" s="2"/>
      <c r="AE492" s="2"/>
      <c r="AG492" s="2"/>
    </row>
    <row r="493" customFormat="false" ht="15" hidden="false" customHeight="false" outlineLevel="0" collapsed="false">
      <c r="A493" s="2"/>
      <c r="E493" s="2"/>
      <c r="V493" s="2"/>
      <c r="W493" s="2"/>
      <c r="AC493" s="2"/>
      <c r="AD493" s="2"/>
      <c r="AE493" s="2"/>
      <c r="AG493" s="2"/>
    </row>
    <row r="494" customFormat="false" ht="15" hidden="false" customHeight="false" outlineLevel="0" collapsed="false">
      <c r="A494" s="2"/>
      <c r="E494" s="2"/>
      <c r="V494" s="2"/>
      <c r="W494" s="2"/>
      <c r="AC494" s="2"/>
      <c r="AD494" s="2"/>
      <c r="AE494" s="2"/>
      <c r="AG494" s="2"/>
    </row>
    <row r="495" customFormat="false" ht="15" hidden="false" customHeight="false" outlineLevel="0" collapsed="false">
      <c r="A495" s="2"/>
      <c r="E495" s="2"/>
      <c r="V495" s="2"/>
      <c r="W495" s="2"/>
      <c r="AC495" s="2"/>
      <c r="AD495" s="2"/>
      <c r="AE495" s="2"/>
      <c r="AG495" s="2"/>
    </row>
    <row r="496" customFormat="false" ht="15" hidden="false" customHeight="false" outlineLevel="0" collapsed="false">
      <c r="A496" s="2"/>
      <c r="E496" s="2"/>
      <c r="V496" s="2"/>
      <c r="W496" s="2"/>
      <c r="AC496" s="2"/>
      <c r="AD496" s="2"/>
      <c r="AE496" s="2"/>
      <c r="AG496" s="2"/>
    </row>
    <row r="497" customFormat="false" ht="15" hidden="false" customHeight="false" outlineLevel="0" collapsed="false">
      <c r="A497" s="2"/>
      <c r="E497" s="2"/>
      <c r="V497" s="2"/>
      <c r="W497" s="2"/>
      <c r="AC497" s="2"/>
      <c r="AD497" s="2"/>
      <c r="AE497" s="2"/>
      <c r="AG497" s="2"/>
    </row>
    <row r="498" customFormat="false" ht="15" hidden="false" customHeight="false" outlineLevel="0" collapsed="false">
      <c r="A498" s="2"/>
      <c r="E498" s="2"/>
      <c r="V498" s="2"/>
      <c r="W498" s="2"/>
      <c r="AC498" s="2"/>
      <c r="AD498" s="2"/>
      <c r="AE498" s="2"/>
      <c r="AG498" s="2"/>
    </row>
    <row r="499" customFormat="false" ht="15" hidden="false" customHeight="false" outlineLevel="0" collapsed="false">
      <c r="A499" s="2"/>
      <c r="E499" s="2"/>
      <c r="V499" s="2"/>
      <c r="W499" s="2"/>
      <c r="AC499" s="2"/>
      <c r="AD499" s="2"/>
      <c r="AE499" s="2"/>
      <c r="AG499" s="2"/>
    </row>
    <row r="500" customFormat="false" ht="15" hidden="false" customHeight="false" outlineLevel="0" collapsed="false">
      <c r="A500" s="2"/>
      <c r="E500" s="2"/>
      <c r="V500" s="2"/>
      <c r="W500" s="2"/>
      <c r="AC500" s="2"/>
      <c r="AD500" s="2"/>
      <c r="AE500" s="2"/>
      <c r="AG500" s="2"/>
    </row>
    <row r="501" customFormat="false" ht="15" hidden="false" customHeight="false" outlineLevel="0" collapsed="false">
      <c r="A501" s="2"/>
      <c r="E501" s="2"/>
      <c r="V501" s="2"/>
      <c r="W501" s="2"/>
      <c r="AC501" s="2"/>
      <c r="AD501" s="2"/>
      <c r="AE501" s="2"/>
      <c r="AG501" s="2"/>
    </row>
    <row r="502" customFormat="false" ht="15" hidden="false" customHeight="false" outlineLevel="0" collapsed="false">
      <c r="A502" s="2"/>
      <c r="E502" s="2"/>
      <c r="V502" s="2"/>
      <c r="W502" s="2"/>
      <c r="AC502" s="2"/>
      <c r="AD502" s="2"/>
      <c r="AE502" s="2"/>
      <c r="AG502" s="2"/>
    </row>
    <row r="503" customFormat="false" ht="15" hidden="false" customHeight="false" outlineLevel="0" collapsed="false">
      <c r="A503" s="2"/>
      <c r="E503" s="2"/>
      <c r="V503" s="2"/>
      <c r="W503" s="2"/>
      <c r="AC503" s="2"/>
      <c r="AD503" s="2"/>
      <c r="AE503" s="2"/>
      <c r="AG503" s="2"/>
    </row>
    <row r="504" customFormat="false" ht="15" hidden="false" customHeight="false" outlineLevel="0" collapsed="false">
      <c r="A504" s="2"/>
      <c r="E504" s="2"/>
      <c r="V504" s="2"/>
      <c r="W504" s="2"/>
      <c r="AC504" s="2"/>
      <c r="AD504" s="2"/>
      <c r="AE504" s="2"/>
      <c r="AG504" s="2"/>
    </row>
    <row r="505" customFormat="false" ht="15" hidden="false" customHeight="false" outlineLevel="0" collapsed="false">
      <c r="A505" s="2"/>
      <c r="E505" s="2"/>
      <c r="V505" s="2"/>
      <c r="W505" s="2"/>
      <c r="AC505" s="2"/>
      <c r="AD505" s="2"/>
      <c r="AE505" s="2"/>
      <c r="AG505" s="2"/>
    </row>
    <row r="506" customFormat="false" ht="15" hidden="false" customHeight="false" outlineLevel="0" collapsed="false">
      <c r="A506" s="2"/>
      <c r="E506" s="2"/>
      <c r="V506" s="2"/>
      <c r="W506" s="2"/>
      <c r="AC506" s="2"/>
      <c r="AD506" s="2"/>
      <c r="AE506" s="2"/>
      <c r="AG506" s="2"/>
    </row>
    <row r="507" customFormat="false" ht="15" hidden="false" customHeight="false" outlineLevel="0" collapsed="false">
      <c r="A507" s="2"/>
      <c r="E507" s="2"/>
      <c r="V507" s="2"/>
      <c r="W507" s="2"/>
      <c r="AC507" s="2"/>
      <c r="AD507" s="2"/>
      <c r="AE507" s="2"/>
      <c r="AG507" s="2"/>
    </row>
    <row r="508" customFormat="false" ht="15" hidden="false" customHeight="false" outlineLevel="0" collapsed="false">
      <c r="A508" s="2"/>
      <c r="E508" s="2"/>
      <c r="V508" s="2"/>
      <c r="W508" s="2"/>
      <c r="AC508" s="2"/>
      <c r="AD508" s="2"/>
      <c r="AE508" s="2"/>
      <c r="AG508" s="2"/>
    </row>
    <row r="509" customFormat="false" ht="15" hidden="false" customHeight="false" outlineLevel="0" collapsed="false">
      <c r="A509" s="2"/>
      <c r="E509" s="2"/>
      <c r="V509" s="2"/>
      <c r="W509" s="2"/>
      <c r="AC509" s="2"/>
      <c r="AD509" s="2"/>
      <c r="AE509" s="2"/>
      <c r="AG509" s="2"/>
    </row>
    <row r="510" customFormat="false" ht="15" hidden="false" customHeight="false" outlineLevel="0" collapsed="false">
      <c r="A510" s="2"/>
      <c r="E510" s="2"/>
      <c r="V510" s="2"/>
      <c r="W510" s="2"/>
      <c r="AC510" s="2"/>
      <c r="AD510" s="2"/>
      <c r="AE510" s="2"/>
      <c r="AG510" s="2"/>
    </row>
    <row r="511" customFormat="false" ht="15" hidden="false" customHeight="false" outlineLevel="0" collapsed="false">
      <c r="A511" s="2"/>
      <c r="E511" s="2"/>
      <c r="V511" s="2"/>
      <c r="W511" s="2"/>
      <c r="AC511" s="2"/>
      <c r="AD511" s="2"/>
      <c r="AE511" s="2"/>
      <c r="AG511" s="2"/>
    </row>
    <row r="512" customFormat="false" ht="15" hidden="false" customHeight="false" outlineLevel="0" collapsed="false">
      <c r="A512" s="2"/>
      <c r="E512" s="2"/>
      <c r="V512" s="2"/>
      <c r="W512" s="2"/>
      <c r="AC512" s="2"/>
      <c r="AD512" s="2"/>
      <c r="AE512" s="2"/>
      <c r="AG512" s="2"/>
    </row>
    <row r="513" customFormat="false" ht="15" hidden="false" customHeight="false" outlineLevel="0" collapsed="false">
      <c r="A513" s="2"/>
      <c r="E513" s="2"/>
      <c r="V513" s="2"/>
      <c r="W513" s="2"/>
      <c r="AC513" s="2"/>
      <c r="AD513" s="2"/>
      <c r="AE513" s="2"/>
      <c r="AG513" s="2"/>
    </row>
    <row r="514" customFormat="false" ht="15" hidden="false" customHeight="false" outlineLevel="0" collapsed="false">
      <c r="A514" s="2"/>
      <c r="E514" s="2"/>
      <c r="V514" s="2"/>
      <c r="W514" s="2"/>
      <c r="AC514" s="2"/>
      <c r="AD514" s="2"/>
      <c r="AE514" s="2"/>
      <c r="AG514" s="2"/>
    </row>
    <row r="515" customFormat="false" ht="15" hidden="false" customHeight="false" outlineLevel="0" collapsed="false">
      <c r="A515" s="2"/>
      <c r="E515" s="2"/>
      <c r="V515" s="2"/>
      <c r="W515" s="2"/>
      <c r="AC515" s="2"/>
      <c r="AD515" s="2"/>
      <c r="AE515" s="2"/>
      <c r="AG515" s="2"/>
    </row>
    <row r="516" customFormat="false" ht="15" hidden="false" customHeight="false" outlineLevel="0" collapsed="false">
      <c r="A516" s="2"/>
      <c r="E516" s="2"/>
      <c r="V516" s="2"/>
      <c r="W516" s="2"/>
      <c r="AC516" s="2"/>
      <c r="AD516" s="2"/>
      <c r="AE516" s="2"/>
      <c r="AG516" s="2"/>
    </row>
    <row r="517" customFormat="false" ht="15" hidden="false" customHeight="false" outlineLevel="0" collapsed="false">
      <c r="A517" s="2"/>
      <c r="E517" s="2"/>
      <c r="V517" s="2"/>
      <c r="W517" s="2"/>
      <c r="AC517" s="2"/>
      <c r="AD517" s="2"/>
      <c r="AE517" s="2"/>
      <c r="AG517" s="2"/>
    </row>
    <row r="518" customFormat="false" ht="15" hidden="false" customHeight="false" outlineLevel="0" collapsed="false">
      <c r="A518" s="2"/>
      <c r="E518" s="2"/>
      <c r="V518" s="2"/>
      <c r="W518" s="2"/>
      <c r="AC518" s="2"/>
      <c r="AD518" s="2"/>
      <c r="AE518" s="2"/>
      <c r="AG518" s="2"/>
    </row>
    <row r="519" customFormat="false" ht="15" hidden="false" customHeight="false" outlineLevel="0" collapsed="false">
      <c r="A519" s="2"/>
      <c r="E519" s="2"/>
      <c r="V519" s="2"/>
      <c r="W519" s="2"/>
      <c r="AC519" s="2"/>
      <c r="AD519" s="2"/>
      <c r="AE519" s="2"/>
      <c r="AG519" s="2"/>
    </row>
    <row r="520" customFormat="false" ht="15" hidden="false" customHeight="false" outlineLevel="0" collapsed="false">
      <c r="A520" s="2"/>
      <c r="E520" s="2"/>
      <c r="V520" s="2"/>
      <c r="W520" s="2"/>
      <c r="AC520" s="2"/>
      <c r="AD520" s="2"/>
      <c r="AE520" s="2"/>
      <c r="AG520" s="2"/>
    </row>
    <row r="521" customFormat="false" ht="15" hidden="false" customHeight="false" outlineLevel="0" collapsed="false">
      <c r="A521" s="2"/>
      <c r="E521" s="2"/>
      <c r="V521" s="2"/>
      <c r="W521" s="2"/>
      <c r="AC521" s="2"/>
      <c r="AD521" s="2"/>
      <c r="AE521" s="2"/>
      <c r="AG521" s="2"/>
    </row>
    <row r="522" customFormat="false" ht="15" hidden="false" customHeight="false" outlineLevel="0" collapsed="false">
      <c r="A522" s="2"/>
      <c r="E522" s="2"/>
      <c r="V522" s="2"/>
      <c r="W522" s="2"/>
      <c r="AC522" s="2"/>
      <c r="AD522" s="2"/>
      <c r="AE522" s="2"/>
      <c r="AG522" s="2"/>
    </row>
    <row r="523" customFormat="false" ht="15" hidden="false" customHeight="false" outlineLevel="0" collapsed="false">
      <c r="A523" s="2"/>
      <c r="E523" s="2"/>
      <c r="V523" s="2"/>
      <c r="W523" s="2"/>
      <c r="AC523" s="2"/>
      <c r="AD523" s="2"/>
      <c r="AE523" s="2"/>
      <c r="AG523" s="2"/>
    </row>
    <row r="524" customFormat="false" ht="15" hidden="false" customHeight="false" outlineLevel="0" collapsed="false">
      <c r="A524" s="2"/>
      <c r="E524" s="2"/>
      <c r="V524" s="2"/>
      <c r="W524" s="2"/>
      <c r="AC524" s="2"/>
      <c r="AD524" s="2"/>
      <c r="AE524" s="2"/>
      <c r="AG524" s="2"/>
    </row>
    <row r="525" customFormat="false" ht="15" hidden="false" customHeight="false" outlineLevel="0" collapsed="false">
      <c r="A525" s="2"/>
      <c r="E525" s="2"/>
      <c r="V525" s="2"/>
      <c r="W525" s="2"/>
      <c r="AC525" s="2"/>
      <c r="AD525" s="2"/>
      <c r="AE525" s="2"/>
      <c r="AG525" s="2"/>
    </row>
    <row r="526" customFormat="false" ht="15" hidden="false" customHeight="false" outlineLevel="0" collapsed="false">
      <c r="A526" s="2"/>
      <c r="E526" s="2"/>
      <c r="V526" s="2"/>
      <c r="W526" s="2"/>
      <c r="AC526" s="2"/>
      <c r="AD526" s="2"/>
      <c r="AE526" s="2"/>
      <c r="AG526" s="2"/>
    </row>
    <row r="527" customFormat="false" ht="15" hidden="false" customHeight="false" outlineLevel="0" collapsed="false">
      <c r="A527" s="2"/>
      <c r="E527" s="2"/>
      <c r="V527" s="2"/>
      <c r="W527" s="2"/>
      <c r="AC527" s="2"/>
      <c r="AD527" s="2"/>
      <c r="AE527" s="2"/>
      <c r="AG527" s="2"/>
    </row>
    <row r="528" customFormat="false" ht="15" hidden="false" customHeight="false" outlineLevel="0" collapsed="false">
      <c r="A528" s="2"/>
      <c r="E528" s="2"/>
      <c r="V528" s="2"/>
      <c r="W528" s="2"/>
      <c r="AC528" s="2"/>
      <c r="AD528" s="2"/>
      <c r="AE528" s="2"/>
      <c r="AG528" s="2"/>
    </row>
    <row r="529" customFormat="false" ht="15" hidden="false" customHeight="false" outlineLevel="0" collapsed="false">
      <c r="A529" s="2"/>
      <c r="E529" s="2"/>
      <c r="V529" s="2"/>
      <c r="W529" s="2"/>
      <c r="AC529" s="2"/>
      <c r="AD529" s="2"/>
      <c r="AE529" s="2"/>
      <c r="AG529" s="2"/>
    </row>
    <row r="530" customFormat="false" ht="15" hidden="false" customHeight="false" outlineLevel="0" collapsed="false">
      <c r="A530" s="2"/>
      <c r="E530" s="2"/>
      <c r="V530" s="2"/>
      <c r="W530" s="2"/>
      <c r="AC530" s="2"/>
      <c r="AD530" s="2"/>
      <c r="AE530" s="2"/>
      <c r="AG530" s="2"/>
    </row>
    <row r="531" customFormat="false" ht="15" hidden="false" customHeight="false" outlineLevel="0" collapsed="false">
      <c r="A531" s="2"/>
      <c r="E531" s="2"/>
      <c r="V531" s="2"/>
      <c r="W531" s="2"/>
      <c r="AC531" s="2"/>
      <c r="AD531" s="2"/>
      <c r="AE531" s="2"/>
      <c r="AG531" s="2"/>
    </row>
    <row r="532" customFormat="false" ht="15" hidden="false" customHeight="false" outlineLevel="0" collapsed="false">
      <c r="A532" s="2"/>
      <c r="E532" s="2"/>
      <c r="V532" s="2"/>
      <c r="W532" s="2"/>
      <c r="AC532" s="2"/>
      <c r="AD532" s="2"/>
      <c r="AE532" s="2"/>
      <c r="AG532" s="2"/>
    </row>
    <row r="533" customFormat="false" ht="15" hidden="false" customHeight="false" outlineLevel="0" collapsed="false">
      <c r="A533" s="2"/>
      <c r="E533" s="2"/>
      <c r="V533" s="2"/>
      <c r="W533" s="2"/>
      <c r="AC533" s="2"/>
      <c r="AD533" s="2"/>
      <c r="AE533" s="2"/>
      <c r="AG533" s="2"/>
    </row>
    <row r="534" customFormat="false" ht="15" hidden="false" customHeight="false" outlineLevel="0" collapsed="false">
      <c r="A534" s="2"/>
      <c r="E534" s="2"/>
      <c r="V534" s="2"/>
      <c r="W534" s="2"/>
      <c r="AC534" s="2"/>
      <c r="AD534" s="2"/>
      <c r="AE534" s="2"/>
      <c r="AG534" s="2"/>
    </row>
    <row r="535" customFormat="false" ht="15" hidden="false" customHeight="false" outlineLevel="0" collapsed="false">
      <c r="A535" s="2"/>
      <c r="E535" s="2"/>
      <c r="V535" s="2"/>
      <c r="W535" s="2"/>
      <c r="AC535" s="2"/>
      <c r="AD535" s="2"/>
      <c r="AE535" s="2"/>
      <c r="AG535" s="2"/>
    </row>
    <row r="536" customFormat="false" ht="15" hidden="false" customHeight="false" outlineLevel="0" collapsed="false">
      <c r="A536" s="2"/>
      <c r="E536" s="2"/>
      <c r="V536" s="2"/>
      <c r="W536" s="2"/>
      <c r="AC536" s="2"/>
      <c r="AD536" s="2"/>
      <c r="AE536" s="2"/>
      <c r="AG536" s="2"/>
    </row>
    <row r="537" customFormat="false" ht="15" hidden="false" customHeight="false" outlineLevel="0" collapsed="false">
      <c r="A537" s="2"/>
      <c r="E537" s="2"/>
      <c r="V537" s="2"/>
      <c r="W537" s="2"/>
      <c r="AC537" s="2"/>
      <c r="AD537" s="2"/>
      <c r="AE537" s="2"/>
      <c r="AG537" s="2"/>
    </row>
    <row r="538" customFormat="false" ht="15" hidden="false" customHeight="false" outlineLevel="0" collapsed="false">
      <c r="A538" s="2"/>
      <c r="E538" s="2"/>
      <c r="V538" s="2"/>
      <c r="W538" s="2"/>
      <c r="AC538" s="2"/>
      <c r="AD538" s="2"/>
      <c r="AE538" s="2"/>
      <c r="AG538" s="2"/>
    </row>
    <row r="539" customFormat="false" ht="15" hidden="false" customHeight="false" outlineLevel="0" collapsed="false">
      <c r="A539" s="2"/>
      <c r="E539" s="2"/>
      <c r="V539" s="2"/>
      <c r="W539" s="2"/>
      <c r="AC539" s="2"/>
      <c r="AD539" s="2"/>
      <c r="AE539" s="2"/>
      <c r="AG539" s="2"/>
    </row>
    <row r="540" customFormat="false" ht="15" hidden="false" customHeight="false" outlineLevel="0" collapsed="false">
      <c r="A540" s="2"/>
      <c r="E540" s="2"/>
      <c r="V540" s="2"/>
      <c r="W540" s="2"/>
      <c r="AC540" s="2"/>
      <c r="AD540" s="2"/>
      <c r="AE540" s="2"/>
      <c r="AG540" s="2"/>
    </row>
    <row r="541" customFormat="false" ht="15" hidden="false" customHeight="false" outlineLevel="0" collapsed="false">
      <c r="A541" s="2"/>
      <c r="E541" s="2"/>
      <c r="V541" s="2"/>
      <c r="W541" s="2"/>
      <c r="AC541" s="2"/>
      <c r="AD541" s="2"/>
      <c r="AE541" s="2"/>
      <c r="AG541" s="2"/>
    </row>
    <row r="542" customFormat="false" ht="15" hidden="false" customHeight="false" outlineLevel="0" collapsed="false">
      <c r="A542" s="2"/>
      <c r="E542" s="2"/>
      <c r="V542" s="2"/>
      <c r="W542" s="2"/>
      <c r="AC542" s="2"/>
      <c r="AD542" s="2"/>
      <c r="AE542" s="2"/>
      <c r="AG542" s="2"/>
    </row>
    <row r="543" customFormat="false" ht="15" hidden="false" customHeight="false" outlineLevel="0" collapsed="false">
      <c r="A543" s="2"/>
      <c r="E543" s="2"/>
      <c r="V543" s="2"/>
      <c r="W543" s="2"/>
      <c r="AC543" s="2"/>
      <c r="AD543" s="2"/>
      <c r="AE543" s="2"/>
      <c r="AG543" s="2"/>
    </row>
    <row r="544" customFormat="false" ht="15" hidden="false" customHeight="false" outlineLevel="0" collapsed="false">
      <c r="A544" s="2"/>
      <c r="E544" s="2"/>
      <c r="V544" s="2"/>
      <c r="W544" s="2"/>
      <c r="AC544" s="2"/>
      <c r="AD544" s="2"/>
      <c r="AE544" s="2"/>
      <c r="AG544" s="2"/>
    </row>
    <row r="545" customFormat="false" ht="15" hidden="false" customHeight="false" outlineLevel="0" collapsed="false">
      <c r="A545" s="2"/>
      <c r="E545" s="2"/>
      <c r="V545" s="2"/>
      <c r="W545" s="2"/>
      <c r="AC545" s="2"/>
      <c r="AD545" s="2"/>
      <c r="AE545" s="2"/>
      <c r="AG545" s="2"/>
    </row>
    <row r="546" customFormat="false" ht="15" hidden="false" customHeight="false" outlineLevel="0" collapsed="false">
      <c r="A546" s="2"/>
      <c r="E546" s="2"/>
      <c r="V546" s="2"/>
      <c r="W546" s="2"/>
      <c r="AC546" s="2"/>
      <c r="AD546" s="2"/>
      <c r="AE546" s="2"/>
      <c r="AG546" s="2"/>
    </row>
    <row r="547" customFormat="false" ht="15" hidden="false" customHeight="false" outlineLevel="0" collapsed="false">
      <c r="A547" s="2"/>
      <c r="E547" s="2"/>
      <c r="V547" s="2"/>
      <c r="W547" s="2"/>
      <c r="AC547" s="2"/>
      <c r="AD547" s="2"/>
      <c r="AE547" s="2"/>
      <c r="AG547" s="2"/>
    </row>
    <row r="548" customFormat="false" ht="15" hidden="false" customHeight="false" outlineLevel="0" collapsed="false">
      <c r="A548" s="2"/>
      <c r="E548" s="2"/>
      <c r="V548" s="2"/>
      <c r="W548" s="2"/>
      <c r="AC548" s="2"/>
      <c r="AD548" s="2"/>
      <c r="AE548" s="2"/>
      <c r="AG548" s="2"/>
    </row>
    <row r="549" customFormat="false" ht="15" hidden="false" customHeight="false" outlineLevel="0" collapsed="false">
      <c r="A549" s="2"/>
      <c r="E549" s="2"/>
      <c r="V549" s="2"/>
      <c r="W549" s="2"/>
      <c r="AC549" s="2"/>
      <c r="AD549" s="2"/>
      <c r="AE549" s="2"/>
      <c r="AG549" s="2"/>
    </row>
    <row r="550" customFormat="false" ht="15" hidden="false" customHeight="false" outlineLevel="0" collapsed="false">
      <c r="A550" s="2"/>
      <c r="E550" s="2"/>
      <c r="V550" s="2"/>
      <c r="W550" s="2"/>
      <c r="AC550" s="2"/>
      <c r="AD550" s="2"/>
      <c r="AE550" s="2"/>
      <c r="AG550" s="2"/>
    </row>
    <row r="551" customFormat="false" ht="15" hidden="false" customHeight="false" outlineLevel="0" collapsed="false">
      <c r="A551" s="2"/>
      <c r="E551" s="2"/>
      <c r="V551" s="2"/>
      <c r="W551" s="2"/>
      <c r="AC551" s="2"/>
      <c r="AD551" s="2"/>
      <c r="AE551" s="2"/>
      <c r="AG551" s="2"/>
    </row>
    <row r="552" customFormat="false" ht="15" hidden="false" customHeight="false" outlineLevel="0" collapsed="false">
      <c r="A552" s="2"/>
      <c r="E552" s="2"/>
      <c r="V552" s="2"/>
      <c r="W552" s="2"/>
      <c r="AC552" s="2"/>
      <c r="AD552" s="2"/>
      <c r="AE552" s="2"/>
      <c r="AG552" s="2"/>
    </row>
    <row r="553" customFormat="false" ht="15" hidden="false" customHeight="false" outlineLevel="0" collapsed="false">
      <c r="A553" s="2"/>
      <c r="E553" s="2"/>
      <c r="V553" s="2"/>
      <c r="W553" s="2"/>
      <c r="AC553" s="2"/>
      <c r="AD553" s="2"/>
      <c r="AE553" s="2"/>
      <c r="AG553" s="2"/>
    </row>
    <row r="554" customFormat="false" ht="15" hidden="false" customHeight="false" outlineLevel="0" collapsed="false">
      <c r="A554" s="2"/>
      <c r="E554" s="2"/>
      <c r="V554" s="2"/>
      <c r="W554" s="2"/>
      <c r="AC554" s="2"/>
      <c r="AD554" s="2"/>
      <c r="AE554" s="2"/>
      <c r="AG554" s="2"/>
    </row>
    <row r="555" customFormat="false" ht="15" hidden="false" customHeight="false" outlineLevel="0" collapsed="false">
      <c r="A555" s="2"/>
      <c r="E555" s="2"/>
      <c r="V555" s="2"/>
      <c r="W555" s="2"/>
      <c r="AC555" s="2"/>
      <c r="AD555" s="2"/>
      <c r="AE555" s="2"/>
      <c r="AG555" s="2"/>
    </row>
    <row r="556" customFormat="false" ht="15" hidden="false" customHeight="false" outlineLevel="0" collapsed="false">
      <c r="A556" s="2"/>
      <c r="E556" s="2"/>
      <c r="V556" s="2"/>
      <c r="W556" s="2"/>
      <c r="AC556" s="2"/>
      <c r="AD556" s="2"/>
      <c r="AE556" s="2"/>
      <c r="AG556" s="2"/>
    </row>
    <row r="557" customFormat="false" ht="15" hidden="false" customHeight="false" outlineLevel="0" collapsed="false">
      <c r="A557" s="2"/>
      <c r="E557" s="2"/>
      <c r="V557" s="2"/>
      <c r="W557" s="2"/>
      <c r="AC557" s="2"/>
      <c r="AD557" s="2"/>
      <c r="AE557" s="2"/>
      <c r="AG557" s="2"/>
    </row>
    <row r="558" customFormat="false" ht="15" hidden="false" customHeight="false" outlineLevel="0" collapsed="false">
      <c r="A558" s="2"/>
      <c r="E558" s="2"/>
      <c r="V558" s="2"/>
      <c r="W558" s="2"/>
      <c r="AC558" s="2"/>
      <c r="AD558" s="2"/>
      <c r="AE558" s="2"/>
      <c r="AG558" s="2"/>
    </row>
    <row r="559" customFormat="false" ht="15" hidden="false" customHeight="false" outlineLevel="0" collapsed="false">
      <c r="A559" s="2"/>
      <c r="E559" s="2"/>
      <c r="V559" s="2"/>
      <c r="W559" s="2"/>
      <c r="AC559" s="2"/>
      <c r="AD559" s="2"/>
      <c r="AE559" s="2"/>
      <c r="AG559" s="2"/>
    </row>
    <row r="560" customFormat="false" ht="15" hidden="false" customHeight="false" outlineLevel="0" collapsed="false">
      <c r="A560" s="2"/>
      <c r="E560" s="2"/>
      <c r="V560" s="2"/>
      <c r="W560" s="2"/>
      <c r="AC560" s="2"/>
      <c r="AD560" s="2"/>
      <c r="AE560" s="2"/>
      <c r="AG560" s="2"/>
    </row>
    <row r="561" customFormat="false" ht="15" hidden="false" customHeight="false" outlineLevel="0" collapsed="false">
      <c r="A561" s="2"/>
      <c r="E561" s="2"/>
      <c r="V561" s="2"/>
      <c r="W561" s="2"/>
      <c r="AC561" s="2"/>
      <c r="AD561" s="2"/>
      <c r="AE561" s="2"/>
      <c r="AG561" s="2"/>
    </row>
    <row r="562" customFormat="false" ht="15" hidden="false" customHeight="false" outlineLevel="0" collapsed="false">
      <c r="A562" s="2"/>
      <c r="E562" s="2"/>
      <c r="V562" s="2"/>
      <c r="W562" s="2"/>
      <c r="AC562" s="2"/>
      <c r="AD562" s="2"/>
      <c r="AE562" s="2"/>
      <c r="AG562" s="2"/>
    </row>
    <row r="563" customFormat="false" ht="15" hidden="false" customHeight="false" outlineLevel="0" collapsed="false">
      <c r="A563" s="2"/>
      <c r="E563" s="2"/>
      <c r="V563" s="2"/>
      <c r="W563" s="2"/>
      <c r="AC563" s="2"/>
      <c r="AD563" s="2"/>
      <c r="AE563" s="2"/>
      <c r="AG563" s="2"/>
    </row>
    <row r="564" customFormat="false" ht="15" hidden="false" customHeight="false" outlineLevel="0" collapsed="false">
      <c r="A564" s="2"/>
      <c r="E564" s="2"/>
      <c r="V564" s="2"/>
      <c r="W564" s="2"/>
      <c r="AC564" s="2"/>
      <c r="AD564" s="2"/>
      <c r="AE564" s="2"/>
      <c r="AG564" s="2"/>
    </row>
    <row r="565" customFormat="false" ht="15" hidden="false" customHeight="false" outlineLevel="0" collapsed="false">
      <c r="A565" s="2"/>
      <c r="E565" s="2"/>
      <c r="V565" s="2"/>
      <c r="W565" s="2"/>
      <c r="AC565" s="2"/>
      <c r="AD565" s="2"/>
      <c r="AE565" s="2"/>
      <c r="AG565" s="2"/>
    </row>
    <row r="566" customFormat="false" ht="15" hidden="false" customHeight="false" outlineLevel="0" collapsed="false">
      <c r="A566" s="2"/>
      <c r="E566" s="2"/>
      <c r="V566" s="2"/>
      <c r="W566" s="2"/>
      <c r="AC566" s="2"/>
      <c r="AD566" s="2"/>
      <c r="AE566" s="2"/>
      <c r="AG566" s="2"/>
    </row>
    <row r="567" customFormat="false" ht="15" hidden="false" customHeight="false" outlineLevel="0" collapsed="false">
      <c r="A567" s="2"/>
      <c r="E567" s="2"/>
      <c r="V567" s="2"/>
      <c r="W567" s="2"/>
      <c r="AC567" s="2"/>
      <c r="AD567" s="2"/>
      <c r="AE567" s="2"/>
      <c r="AG567" s="2"/>
    </row>
    <row r="568" customFormat="false" ht="15" hidden="false" customHeight="false" outlineLevel="0" collapsed="false">
      <c r="A568" s="2"/>
      <c r="E568" s="2"/>
      <c r="V568" s="2"/>
      <c r="W568" s="2"/>
      <c r="AC568" s="2"/>
      <c r="AD568" s="2"/>
      <c r="AE568" s="2"/>
      <c r="AG568" s="2"/>
    </row>
    <row r="569" customFormat="false" ht="15" hidden="false" customHeight="false" outlineLevel="0" collapsed="false">
      <c r="A569" s="2"/>
      <c r="E569" s="2"/>
      <c r="V569" s="2"/>
      <c r="W569" s="2"/>
      <c r="AC569" s="2"/>
      <c r="AD569" s="2"/>
      <c r="AE569" s="2"/>
      <c r="AG569" s="2"/>
    </row>
    <row r="570" customFormat="false" ht="15" hidden="false" customHeight="false" outlineLevel="0" collapsed="false">
      <c r="A570" s="2"/>
      <c r="E570" s="2"/>
      <c r="V570" s="2"/>
      <c r="W570" s="2"/>
      <c r="AC570" s="2"/>
      <c r="AD570" s="2"/>
      <c r="AE570" s="2"/>
      <c r="AG570" s="2"/>
    </row>
    <row r="571" customFormat="false" ht="15" hidden="false" customHeight="false" outlineLevel="0" collapsed="false">
      <c r="A571" s="2"/>
      <c r="E571" s="2"/>
      <c r="V571" s="2"/>
      <c r="W571" s="2"/>
      <c r="AC571" s="2"/>
      <c r="AD571" s="2"/>
      <c r="AE571" s="2"/>
      <c r="AG571" s="2"/>
    </row>
    <row r="572" customFormat="false" ht="15" hidden="false" customHeight="false" outlineLevel="0" collapsed="false">
      <c r="A572" s="2"/>
      <c r="E572" s="2"/>
      <c r="V572" s="2"/>
      <c r="W572" s="2"/>
      <c r="AC572" s="2"/>
      <c r="AD572" s="2"/>
      <c r="AE572" s="2"/>
      <c r="AG572" s="2"/>
    </row>
    <row r="573" customFormat="false" ht="15" hidden="false" customHeight="false" outlineLevel="0" collapsed="false">
      <c r="A573" s="2"/>
      <c r="E573" s="2"/>
      <c r="V573" s="2"/>
      <c r="W573" s="2"/>
      <c r="AC573" s="2"/>
      <c r="AD573" s="2"/>
      <c r="AE573" s="2"/>
      <c r="AG573" s="2"/>
    </row>
    <row r="574" customFormat="false" ht="15" hidden="false" customHeight="false" outlineLevel="0" collapsed="false">
      <c r="A574" s="2"/>
      <c r="E574" s="2"/>
      <c r="V574" s="2"/>
      <c r="W574" s="2"/>
      <c r="AC574" s="2"/>
      <c r="AD574" s="2"/>
      <c r="AE574" s="2"/>
      <c r="AG574" s="2"/>
    </row>
    <row r="575" customFormat="false" ht="15" hidden="false" customHeight="false" outlineLevel="0" collapsed="false">
      <c r="A575" s="2"/>
      <c r="E575" s="2"/>
      <c r="V575" s="2"/>
      <c r="W575" s="2"/>
      <c r="AC575" s="2"/>
      <c r="AD575" s="2"/>
      <c r="AE575" s="2"/>
      <c r="AG575" s="2"/>
    </row>
    <row r="576" customFormat="false" ht="15" hidden="false" customHeight="false" outlineLevel="0" collapsed="false">
      <c r="A576" s="2"/>
      <c r="E576" s="2"/>
      <c r="V576" s="2"/>
      <c r="W576" s="2"/>
      <c r="AC576" s="2"/>
      <c r="AD576" s="2"/>
      <c r="AE576" s="2"/>
      <c r="AG576" s="2"/>
    </row>
    <row r="577" customFormat="false" ht="15" hidden="false" customHeight="false" outlineLevel="0" collapsed="false">
      <c r="A577" s="2"/>
      <c r="E577" s="2"/>
      <c r="V577" s="2"/>
      <c r="W577" s="2"/>
      <c r="AC577" s="2"/>
      <c r="AD577" s="2"/>
      <c r="AE577" s="2"/>
      <c r="AG577" s="2"/>
    </row>
    <row r="578" customFormat="false" ht="15" hidden="false" customHeight="false" outlineLevel="0" collapsed="false">
      <c r="A578" s="2"/>
      <c r="E578" s="2"/>
      <c r="V578" s="2"/>
      <c r="W578" s="2"/>
      <c r="AC578" s="2"/>
      <c r="AD578" s="2"/>
      <c r="AE578" s="2"/>
      <c r="AG578" s="2"/>
    </row>
    <row r="579" customFormat="false" ht="15" hidden="false" customHeight="false" outlineLevel="0" collapsed="false">
      <c r="A579" s="2"/>
      <c r="E579" s="2"/>
      <c r="V579" s="2"/>
      <c r="W579" s="2"/>
      <c r="AC579" s="2"/>
      <c r="AD579" s="2"/>
      <c r="AE579" s="2"/>
      <c r="AG579" s="2"/>
    </row>
    <row r="580" customFormat="false" ht="15" hidden="false" customHeight="false" outlineLevel="0" collapsed="false">
      <c r="A580" s="2"/>
      <c r="E580" s="2"/>
      <c r="V580" s="2"/>
      <c r="W580" s="2"/>
      <c r="AC580" s="2"/>
      <c r="AD580" s="2"/>
      <c r="AE580" s="2"/>
      <c r="AG580" s="2"/>
    </row>
    <row r="581" customFormat="false" ht="15" hidden="false" customHeight="false" outlineLevel="0" collapsed="false">
      <c r="A581" s="2"/>
      <c r="E581" s="2"/>
      <c r="V581" s="2"/>
      <c r="W581" s="2"/>
      <c r="AC581" s="2"/>
      <c r="AD581" s="2"/>
      <c r="AE581" s="2"/>
      <c r="AG581" s="2"/>
    </row>
    <row r="582" customFormat="false" ht="15" hidden="false" customHeight="false" outlineLevel="0" collapsed="false">
      <c r="A582" s="2"/>
      <c r="E582" s="2"/>
      <c r="V582" s="2"/>
      <c r="W582" s="2"/>
      <c r="AC582" s="2"/>
      <c r="AD582" s="2"/>
      <c r="AE582" s="2"/>
      <c r="AG582" s="2"/>
    </row>
    <row r="583" customFormat="false" ht="15" hidden="false" customHeight="false" outlineLevel="0" collapsed="false">
      <c r="A583" s="2"/>
      <c r="E583" s="2"/>
      <c r="V583" s="2"/>
      <c r="W583" s="2"/>
      <c r="AC583" s="2"/>
      <c r="AD583" s="2"/>
      <c r="AE583" s="2"/>
      <c r="AG583" s="2"/>
    </row>
    <row r="584" customFormat="false" ht="15" hidden="false" customHeight="false" outlineLevel="0" collapsed="false">
      <c r="A584" s="2"/>
      <c r="E584" s="2"/>
      <c r="V584" s="2"/>
      <c r="W584" s="2"/>
      <c r="AC584" s="2"/>
      <c r="AD584" s="2"/>
      <c r="AE584" s="2"/>
      <c r="AG584" s="2"/>
    </row>
    <row r="585" customFormat="false" ht="15" hidden="false" customHeight="false" outlineLevel="0" collapsed="false">
      <c r="A585" s="2"/>
      <c r="E585" s="2"/>
      <c r="V585" s="2"/>
      <c r="W585" s="2"/>
      <c r="AC585" s="2"/>
      <c r="AD585" s="2"/>
      <c r="AE585" s="2"/>
      <c r="AG585" s="2"/>
    </row>
    <row r="586" customFormat="false" ht="15" hidden="false" customHeight="false" outlineLevel="0" collapsed="false">
      <c r="A586" s="2"/>
      <c r="E586" s="2"/>
      <c r="V586" s="2"/>
      <c r="W586" s="2"/>
      <c r="AC586" s="2"/>
      <c r="AD586" s="2"/>
      <c r="AE586" s="2"/>
      <c r="AG586" s="2"/>
    </row>
    <row r="587" customFormat="false" ht="15" hidden="false" customHeight="false" outlineLevel="0" collapsed="false">
      <c r="A587" s="2"/>
      <c r="E587" s="2"/>
      <c r="V587" s="2"/>
      <c r="W587" s="2"/>
      <c r="AC587" s="2"/>
      <c r="AD587" s="2"/>
      <c r="AE587" s="2"/>
      <c r="AG587" s="2"/>
    </row>
    <row r="588" customFormat="false" ht="15" hidden="false" customHeight="false" outlineLevel="0" collapsed="false">
      <c r="A588" s="2"/>
      <c r="E588" s="2"/>
      <c r="V588" s="2"/>
      <c r="W588" s="2"/>
      <c r="AC588" s="2"/>
      <c r="AD588" s="2"/>
      <c r="AE588" s="2"/>
      <c r="AG588" s="2"/>
    </row>
    <row r="589" customFormat="false" ht="15" hidden="false" customHeight="false" outlineLevel="0" collapsed="false">
      <c r="A589" s="2"/>
      <c r="E589" s="2"/>
      <c r="V589" s="2"/>
      <c r="W589" s="2"/>
      <c r="AC589" s="2"/>
      <c r="AD589" s="2"/>
      <c r="AE589" s="2"/>
      <c r="AG589" s="2"/>
    </row>
    <row r="590" customFormat="false" ht="15" hidden="false" customHeight="false" outlineLevel="0" collapsed="false">
      <c r="A590" s="2"/>
      <c r="E590" s="2"/>
      <c r="V590" s="2"/>
      <c r="W590" s="2"/>
      <c r="AC590" s="2"/>
      <c r="AD590" s="2"/>
      <c r="AE590" s="2"/>
      <c r="AG590" s="2"/>
    </row>
    <row r="591" customFormat="false" ht="15" hidden="false" customHeight="false" outlineLevel="0" collapsed="false">
      <c r="A591" s="2"/>
      <c r="E591" s="2"/>
      <c r="V591" s="2"/>
      <c r="W591" s="2"/>
      <c r="AC591" s="2"/>
      <c r="AD591" s="2"/>
      <c r="AE591" s="2"/>
      <c r="AG591" s="2"/>
    </row>
    <row r="592" customFormat="false" ht="15" hidden="false" customHeight="false" outlineLevel="0" collapsed="false">
      <c r="A592" s="2"/>
      <c r="E592" s="2"/>
      <c r="V592" s="2"/>
      <c r="W592" s="2"/>
      <c r="AC592" s="2"/>
      <c r="AD592" s="2"/>
      <c r="AE592" s="2"/>
      <c r="AG592" s="2"/>
    </row>
    <row r="593" customFormat="false" ht="15" hidden="false" customHeight="false" outlineLevel="0" collapsed="false">
      <c r="A593" s="2"/>
      <c r="E593" s="2"/>
      <c r="V593" s="2"/>
      <c r="W593" s="2"/>
      <c r="AC593" s="2"/>
      <c r="AD593" s="2"/>
      <c r="AE593" s="2"/>
      <c r="AG593" s="2"/>
    </row>
    <row r="594" customFormat="false" ht="15" hidden="false" customHeight="false" outlineLevel="0" collapsed="false">
      <c r="A594" s="2"/>
      <c r="E594" s="2"/>
      <c r="V594" s="2"/>
      <c r="W594" s="2"/>
      <c r="AC594" s="2"/>
      <c r="AD594" s="2"/>
      <c r="AE594" s="2"/>
      <c r="AG594" s="2"/>
    </row>
    <row r="595" customFormat="false" ht="15" hidden="false" customHeight="false" outlineLevel="0" collapsed="false">
      <c r="A595" s="2"/>
      <c r="E595" s="2"/>
      <c r="V595" s="2"/>
      <c r="W595" s="2"/>
      <c r="AC595" s="2"/>
      <c r="AD595" s="2"/>
      <c r="AE595" s="2"/>
      <c r="AG595" s="2"/>
    </row>
    <row r="596" customFormat="false" ht="15" hidden="false" customHeight="false" outlineLevel="0" collapsed="false">
      <c r="A596" s="2"/>
      <c r="E596" s="2"/>
      <c r="V596" s="2"/>
      <c r="W596" s="2"/>
      <c r="AC596" s="2"/>
      <c r="AD596" s="2"/>
      <c r="AE596" s="2"/>
      <c r="AG596" s="2"/>
    </row>
    <row r="597" customFormat="false" ht="15" hidden="false" customHeight="false" outlineLevel="0" collapsed="false">
      <c r="A597" s="2"/>
      <c r="E597" s="2"/>
      <c r="V597" s="2"/>
      <c r="W597" s="2"/>
      <c r="AC597" s="2"/>
      <c r="AD597" s="2"/>
      <c r="AE597" s="2"/>
      <c r="AG597" s="2"/>
    </row>
    <row r="598" customFormat="false" ht="15" hidden="false" customHeight="false" outlineLevel="0" collapsed="false">
      <c r="A598" s="2"/>
      <c r="E598" s="2"/>
      <c r="V598" s="2"/>
      <c r="W598" s="2"/>
      <c r="AC598" s="2"/>
      <c r="AD598" s="2"/>
      <c r="AE598" s="2"/>
      <c r="AG598" s="2"/>
    </row>
    <row r="599" customFormat="false" ht="15" hidden="false" customHeight="false" outlineLevel="0" collapsed="false">
      <c r="A599" s="2"/>
      <c r="E599" s="2"/>
      <c r="V599" s="2"/>
      <c r="W599" s="2"/>
      <c r="AC599" s="2"/>
      <c r="AD599" s="2"/>
      <c r="AE599" s="2"/>
      <c r="AG599" s="2"/>
    </row>
    <row r="600" customFormat="false" ht="15" hidden="false" customHeight="false" outlineLevel="0" collapsed="false">
      <c r="A600" s="2"/>
      <c r="E600" s="2"/>
      <c r="V600" s="2"/>
      <c r="W600" s="2"/>
      <c r="AC600" s="2"/>
      <c r="AD600" s="2"/>
      <c r="AE600" s="2"/>
      <c r="AG600" s="2"/>
    </row>
    <row r="601" customFormat="false" ht="15" hidden="false" customHeight="false" outlineLevel="0" collapsed="false">
      <c r="A601" s="2"/>
      <c r="E601" s="2"/>
      <c r="V601" s="2"/>
      <c r="W601" s="2"/>
      <c r="AC601" s="2"/>
      <c r="AD601" s="2"/>
      <c r="AE601" s="2"/>
      <c r="AG601" s="2"/>
    </row>
    <row r="602" customFormat="false" ht="15" hidden="false" customHeight="false" outlineLevel="0" collapsed="false">
      <c r="A602" s="2"/>
      <c r="E602" s="2"/>
      <c r="V602" s="2"/>
      <c r="W602" s="2"/>
      <c r="AC602" s="2"/>
      <c r="AD602" s="2"/>
      <c r="AE602" s="2"/>
      <c r="AG602" s="2"/>
    </row>
    <row r="603" customFormat="false" ht="15" hidden="false" customHeight="false" outlineLevel="0" collapsed="false">
      <c r="A603" s="2"/>
      <c r="E603" s="2"/>
      <c r="V603" s="2"/>
      <c r="W603" s="2"/>
      <c r="AC603" s="2"/>
      <c r="AD603" s="2"/>
      <c r="AE603" s="2"/>
      <c r="AG603" s="2"/>
    </row>
    <row r="604" customFormat="false" ht="15" hidden="false" customHeight="false" outlineLevel="0" collapsed="false">
      <c r="A604" s="2"/>
      <c r="E604" s="2"/>
      <c r="V604" s="2"/>
      <c r="W604" s="2"/>
      <c r="AC604" s="2"/>
      <c r="AD604" s="2"/>
      <c r="AE604" s="2"/>
      <c r="AG604" s="2"/>
    </row>
    <row r="605" customFormat="false" ht="15" hidden="false" customHeight="false" outlineLevel="0" collapsed="false">
      <c r="A605" s="2"/>
      <c r="E605" s="2"/>
      <c r="V605" s="2"/>
      <c r="W605" s="2"/>
      <c r="AC605" s="2"/>
      <c r="AD605" s="2"/>
      <c r="AE605" s="2"/>
      <c r="AG605" s="2"/>
    </row>
    <row r="606" customFormat="false" ht="15" hidden="false" customHeight="false" outlineLevel="0" collapsed="false">
      <c r="A606" s="2"/>
      <c r="E606" s="2"/>
      <c r="V606" s="2"/>
      <c r="W606" s="2"/>
      <c r="AC606" s="2"/>
      <c r="AD606" s="2"/>
      <c r="AE606" s="2"/>
      <c r="AG606" s="2"/>
    </row>
    <row r="607" customFormat="false" ht="15" hidden="false" customHeight="false" outlineLevel="0" collapsed="false">
      <c r="A607" s="2"/>
      <c r="E607" s="2"/>
      <c r="V607" s="2"/>
      <c r="W607" s="2"/>
      <c r="AC607" s="2"/>
      <c r="AD607" s="2"/>
      <c r="AE607" s="2"/>
      <c r="AG607" s="2"/>
    </row>
    <row r="608" customFormat="false" ht="15" hidden="false" customHeight="false" outlineLevel="0" collapsed="false">
      <c r="A608" s="2"/>
      <c r="E608" s="2"/>
      <c r="V608" s="2"/>
      <c r="W608" s="2"/>
      <c r="AC608" s="2"/>
      <c r="AD608" s="2"/>
      <c r="AE608" s="2"/>
      <c r="AG608" s="2"/>
    </row>
    <row r="609" customFormat="false" ht="15" hidden="false" customHeight="false" outlineLevel="0" collapsed="false">
      <c r="A609" s="2"/>
      <c r="E609" s="2"/>
      <c r="V609" s="2"/>
      <c r="W609" s="2"/>
      <c r="AC609" s="2"/>
      <c r="AD609" s="2"/>
      <c r="AE609" s="2"/>
      <c r="AG609" s="2"/>
    </row>
    <row r="610" customFormat="false" ht="15" hidden="false" customHeight="false" outlineLevel="0" collapsed="false">
      <c r="A610" s="2"/>
      <c r="E610" s="2"/>
      <c r="V610" s="2"/>
      <c r="W610" s="2"/>
      <c r="AC610" s="2"/>
      <c r="AD610" s="2"/>
      <c r="AE610" s="2"/>
      <c r="AG610" s="2"/>
    </row>
    <row r="611" customFormat="false" ht="15" hidden="false" customHeight="false" outlineLevel="0" collapsed="false">
      <c r="A611" s="2"/>
      <c r="E611" s="2"/>
      <c r="V611" s="2"/>
      <c r="W611" s="2"/>
      <c r="AC611" s="2"/>
      <c r="AD611" s="2"/>
      <c r="AE611" s="2"/>
      <c r="AG611" s="2"/>
    </row>
    <row r="612" customFormat="false" ht="15" hidden="false" customHeight="false" outlineLevel="0" collapsed="false">
      <c r="A612" s="2"/>
      <c r="E612" s="2"/>
      <c r="V612" s="2"/>
      <c r="W612" s="2"/>
      <c r="AC612" s="2"/>
      <c r="AD612" s="2"/>
      <c r="AE612" s="2"/>
      <c r="AG612" s="2"/>
    </row>
    <row r="613" customFormat="false" ht="15" hidden="false" customHeight="false" outlineLevel="0" collapsed="false">
      <c r="A613" s="2"/>
      <c r="E613" s="2"/>
      <c r="V613" s="2"/>
      <c r="W613" s="2"/>
      <c r="AC613" s="2"/>
      <c r="AD613" s="2"/>
      <c r="AE613" s="2"/>
      <c r="AG613" s="2"/>
    </row>
    <row r="614" customFormat="false" ht="15" hidden="false" customHeight="false" outlineLevel="0" collapsed="false">
      <c r="A614" s="2"/>
      <c r="E614" s="2"/>
      <c r="V614" s="2"/>
      <c r="W614" s="2"/>
      <c r="AC614" s="2"/>
      <c r="AD614" s="2"/>
      <c r="AE614" s="2"/>
      <c r="AG614" s="2"/>
    </row>
    <row r="615" customFormat="false" ht="15" hidden="false" customHeight="false" outlineLevel="0" collapsed="false">
      <c r="A615" s="2"/>
      <c r="E615" s="2"/>
      <c r="V615" s="2"/>
      <c r="W615" s="2"/>
      <c r="AC615" s="2"/>
      <c r="AD615" s="2"/>
      <c r="AE615" s="2"/>
      <c r="AG615" s="2"/>
    </row>
    <row r="616" customFormat="false" ht="15" hidden="false" customHeight="false" outlineLevel="0" collapsed="false">
      <c r="A616" s="2"/>
      <c r="E616" s="2"/>
      <c r="V616" s="2"/>
      <c r="W616" s="2"/>
      <c r="AC616" s="2"/>
      <c r="AD616" s="2"/>
      <c r="AE616" s="2"/>
      <c r="AG616" s="2"/>
    </row>
    <row r="617" customFormat="false" ht="15" hidden="false" customHeight="false" outlineLevel="0" collapsed="false">
      <c r="A617" s="2"/>
      <c r="E617" s="2"/>
      <c r="V617" s="2"/>
      <c r="W617" s="2"/>
      <c r="AC617" s="2"/>
      <c r="AD617" s="2"/>
      <c r="AE617" s="2"/>
      <c r="AG617" s="2"/>
    </row>
    <row r="618" customFormat="false" ht="15" hidden="false" customHeight="false" outlineLevel="0" collapsed="false">
      <c r="A618" s="2"/>
      <c r="E618" s="2"/>
      <c r="V618" s="2"/>
      <c r="W618" s="2"/>
      <c r="AC618" s="2"/>
      <c r="AD618" s="2"/>
      <c r="AE618" s="2"/>
      <c r="AG618" s="2"/>
    </row>
    <row r="619" customFormat="false" ht="15" hidden="false" customHeight="false" outlineLevel="0" collapsed="false">
      <c r="A619" s="2"/>
      <c r="E619" s="2"/>
      <c r="V619" s="2"/>
      <c r="W619" s="2"/>
      <c r="AC619" s="2"/>
      <c r="AD619" s="2"/>
      <c r="AE619" s="2"/>
      <c r="AG619" s="2"/>
    </row>
    <row r="620" customFormat="false" ht="15" hidden="false" customHeight="false" outlineLevel="0" collapsed="false">
      <c r="A620" s="2"/>
      <c r="E620" s="2"/>
      <c r="V620" s="2"/>
      <c r="W620" s="2"/>
      <c r="AC620" s="2"/>
      <c r="AD620" s="2"/>
      <c r="AE620" s="2"/>
      <c r="AG620" s="2"/>
    </row>
    <row r="621" customFormat="false" ht="15" hidden="false" customHeight="false" outlineLevel="0" collapsed="false">
      <c r="A621" s="2"/>
      <c r="E621" s="2"/>
      <c r="V621" s="2"/>
      <c r="W621" s="2"/>
      <c r="AC621" s="2"/>
      <c r="AD621" s="2"/>
      <c r="AE621" s="2"/>
      <c r="AG621" s="2"/>
    </row>
    <row r="622" customFormat="false" ht="15" hidden="false" customHeight="false" outlineLevel="0" collapsed="false">
      <c r="A622" s="2"/>
      <c r="E622" s="2"/>
      <c r="V622" s="2"/>
      <c r="W622" s="2"/>
      <c r="AC622" s="2"/>
      <c r="AD622" s="2"/>
      <c r="AE622" s="2"/>
      <c r="AG622" s="2"/>
    </row>
    <row r="623" customFormat="false" ht="15" hidden="false" customHeight="false" outlineLevel="0" collapsed="false">
      <c r="A623" s="2"/>
      <c r="E623" s="2"/>
      <c r="V623" s="2"/>
      <c r="W623" s="2"/>
      <c r="AC623" s="2"/>
      <c r="AD623" s="2"/>
      <c r="AE623" s="2"/>
      <c r="AG623" s="2"/>
    </row>
    <row r="624" customFormat="false" ht="15" hidden="false" customHeight="false" outlineLevel="0" collapsed="false">
      <c r="A624" s="2"/>
      <c r="E624" s="2"/>
      <c r="V624" s="2"/>
      <c r="W624" s="2"/>
      <c r="AC624" s="2"/>
      <c r="AD624" s="2"/>
      <c r="AE624" s="2"/>
      <c r="AG624" s="2"/>
    </row>
    <row r="625" customFormat="false" ht="15" hidden="false" customHeight="false" outlineLevel="0" collapsed="false">
      <c r="A625" s="2"/>
      <c r="E625" s="2"/>
      <c r="V625" s="2"/>
      <c r="W625" s="2"/>
      <c r="AC625" s="2"/>
      <c r="AD625" s="2"/>
      <c r="AE625" s="2"/>
      <c r="AG625" s="2"/>
    </row>
    <row r="626" customFormat="false" ht="15" hidden="false" customHeight="false" outlineLevel="0" collapsed="false">
      <c r="A626" s="2"/>
      <c r="E626" s="2"/>
      <c r="V626" s="2"/>
      <c r="W626" s="2"/>
      <c r="AC626" s="2"/>
      <c r="AD626" s="2"/>
      <c r="AE626" s="2"/>
      <c r="AG626" s="2"/>
    </row>
    <row r="627" customFormat="false" ht="15" hidden="false" customHeight="false" outlineLevel="0" collapsed="false">
      <c r="A627" s="2"/>
      <c r="E627" s="2"/>
      <c r="V627" s="2"/>
      <c r="W627" s="2"/>
      <c r="AC627" s="2"/>
      <c r="AD627" s="2"/>
      <c r="AE627" s="2"/>
      <c r="AG627" s="2"/>
    </row>
    <row r="628" customFormat="false" ht="15" hidden="false" customHeight="false" outlineLevel="0" collapsed="false">
      <c r="A628" s="2"/>
      <c r="E628" s="2"/>
      <c r="V628" s="2"/>
      <c r="W628" s="2"/>
      <c r="AC628" s="2"/>
      <c r="AD628" s="2"/>
      <c r="AE628" s="2"/>
      <c r="AG628" s="2"/>
    </row>
    <row r="629" customFormat="false" ht="15" hidden="false" customHeight="false" outlineLevel="0" collapsed="false">
      <c r="A629" s="2"/>
      <c r="E629" s="2"/>
      <c r="V629" s="2"/>
      <c r="W629" s="2"/>
      <c r="AC629" s="2"/>
      <c r="AD629" s="2"/>
      <c r="AE629" s="2"/>
      <c r="AG629" s="2"/>
    </row>
    <row r="630" customFormat="false" ht="15" hidden="false" customHeight="false" outlineLevel="0" collapsed="false">
      <c r="A630" s="2"/>
      <c r="E630" s="2"/>
      <c r="V630" s="2"/>
      <c r="W630" s="2"/>
      <c r="AC630" s="2"/>
      <c r="AD630" s="2"/>
      <c r="AE630" s="2"/>
      <c r="AG630" s="2"/>
    </row>
    <row r="631" customFormat="false" ht="15" hidden="false" customHeight="false" outlineLevel="0" collapsed="false">
      <c r="A631" s="2"/>
      <c r="E631" s="2"/>
      <c r="V631" s="2"/>
      <c r="W631" s="2"/>
      <c r="AC631" s="2"/>
      <c r="AD631" s="2"/>
      <c r="AE631" s="2"/>
      <c r="AG631" s="2"/>
    </row>
    <row r="632" customFormat="false" ht="15" hidden="false" customHeight="false" outlineLevel="0" collapsed="false">
      <c r="A632" s="2"/>
      <c r="E632" s="2"/>
      <c r="V632" s="2"/>
      <c r="W632" s="2"/>
      <c r="AC632" s="2"/>
      <c r="AD632" s="2"/>
      <c r="AE632" s="2"/>
      <c r="AG632" s="2"/>
    </row>
    <row r="633" customFormat="false" ht="15" hidden="false" customHeight="false" outlineLevel="0" collapsed="false">
      <c r="A633" s="2"/>
      <c r="E633" s="2"/>
      <c r="V633" s="2"/>
      <c r="W633" s="2"/>
      <c r="AC633" s="2"/>
      <c r="AD633" s="2"/>
      <c r="AE633" s="2"/>
      <c r="AG633" s="2"/>
    </row>
    <row r="634" customFormat="false" ht="15" hidden="false" customHeight="false" outlineLevel="0" collapsed="false">
      <c r="A634" s="2"/>
      <c r="E634" s="2"/>
      <c r="V634" s="2"/>
      <c r="W634" s="2"/>
      <c r="AC634" s="2"/>
      <c r="AD634" s="2"/>
      <c r="AE634" s="2"/>
      <c r="AG634" s="2"/>
    </row>
    <row r="635" customFormat="false" ht="15" hidden="false" customHeight="false" outlineLevel="0" collapsed="false">
      <c r="A635" s="2"/>
      <c r="E635" s="2"/>
      <c r="V635" s="2"/>
      <c r="W635" s="2"/>
      <c r="AC635" s="2"/>
      <c r="AD635" s="2"/>
      <c r="AE635" s="2"/>
      <c r="AG635" s="2"/>
    </row>
    <row r="636" customFormat="false" ht="15" hidden="false" customHeight="false" outlineLevel="0" collapsed="false">
      <c r="A636" s="2"/>
      <c r="E636" s="2"/>
      <c r="V636" s="2"/>
      <c r="W636" s="2"/>
      <c r="AC636" s="2"/>
      <c r="AD636" s="2"/>
      <c r="AE636" s="2"/>
      <c r="AG636" s="2"/>
    </row>
    <row r="637" customFormat="false" ht="15" hidden="false" customHeight="false" outlineLevel="0" collapsed="false">
      <c r="A637" s="2"/>
      <c r="E637" s="2"/>
      <c r="V637" s="2"/>
      <c r="W637" s="2"/>
      <c r="AC637" s="2"/>
      <c r="AD637" s="2"/>
      <c r="AE637" s="2"/>
      <c r="AG637" s="2"/>
    </row>
    <row r="638" customFormat="false" ht="15" hidden="false" customHeight="false" outlineLevel="0" collapsed="false">
      <c r="A638" s="2"/>
      <c r="E638" s="2"/>
      <c r="V638" s="2"/>
      <c r="W638" s="2"/>
      <c r="AC638" s="2"/>
      <c r="AD638" s="2"/>
      <c r="AE638" s="2"/>
      <c r="AG638" s="2"/>
    </row>
    <row r="639" customFormat="false" ht="15" hidden="false" customHeight="false" outlineLevel="0" collapsed="false">
      <c r="A639" s="2"/>
      <c r="E639" s="2"/>
      <c r="V639" s="2"/>
      <c r="W639" s="2"/>
      <c r="AC639" s="2"/>
      <c r="AD639" s="2"/>
      <c r="AE639" s="2"/>
      <c r="AG639" s="2"/>
    </row>
    <row r="640" customFormat="false" ht="15" hidden="false" customHeight="false" outlineLevel="0" collapsed="false">
      <c r="A640" s="2"/>
      <c r="E640" s="2"/>
      <c r="V640" s="2"/>
      <c r="W640" s="2"/>
      <c r="AC640" s="2"/>
      <c r="AD640" s="2"/>
      <c r="AE640" s="2"/>
      <c r="AG640" s="2"/>
    </row>
    <row r="641" customFormat="false" ht="15" hidden="false" customHeight="false" outlineLevel="0" collapsed="false">
      <c r="A641" s="2"/>
      <c r="E641" s="2"/>
      <c r="V641" s="2"/>
      <c r="W641" s="2"/>
      <c r="AC641" s="2"/>
      <c r="AD641" s="2"/>
      <c r="AE641" s="2"/>
      <c r="AG641" s="2"/>
    </row>
    <row r="642" customFormat="false" ht="15" hidden="false" customHeight="false" outlineLevel="0" collapsed="false">
      <c r="A642" s="2"/>
      <c r="E642" s="2"/>
      <c r="V642" s="2"/>
      <c r="W642" s="2"/>
      <c r="AC642" s="2"/>
      <c r="AD642" s="2"/>
      <c r="AE642" s="2"/>
      <c r="AG642" s="2"/>
    </row>
    <row r="643" customFormat="false" ht="15" hidden="false" customHeight="false" outlineLevel="0" collapsed="false">
      <c r="A643" s="2"/>
      <c r="E643" s="2"/>
      <c r="V643" s="2"/>
      <c r="W643" s="2"/>
      <c r="AC643" s="2"/>
      <c r="AD643" s="2"/>
      <c r="AE643" s="2"/>
      <c r="AG643" s="2"/>
    </row>
    <row r="644" customFormat="false" ht="15" hidden="false" customHeight="false" outlineLevel="0" collapsed="false">
      <c r="A644" s="2"/>
      <c r="E644" s="2"/>
      <c r="V644" s="2"/>
      <c r="W644" s="2"/>
      <c r="AC644" s="2"/>
      <c r="AD644" s="2"/>
      <c r="AE644" s="2"/>
      <c r="AG644" s="2"/>
    </row>
    <row r="645" customFormat="false" ht="15" hidden="false" customHeight="false" outlineLevel="0" collapsed="false">
      <c r="A645" s="2"/>
      <c r="E645" s="2"/>
      <c r="V645" s="2"/>
      <c r="W645" s="2"/>
      <c r="AC645" s="2"/>
      <c r="AD645" s="2"/>
      <c r="AE645" s="2"/>
      <c r="AG645" s="2"/>
    </row>
    <row r="646" customFormat="false" ht="15" hidden="false" customHeight="false" outlineLevel="0" collapsed="false">
      <c r="A646" s="2"/>
      <c r="E646" s="2"/>
      <c r="V646" s="2"/>
      <c r="W646" s="2"/>
      <c r="AC646" s="2"/>
      <c r="AD646" s="2"/>
      <c r="AE646" s="2"/>
      <c r="AG646" s="2"/>
    </row>
    <row r="647" customFormat="false" ht="15" hidden="false" customHeight="false" outlineLevel="0" collapsed="false">
      <c r="A647" s="2"/>
      <c r="E647" s="2"/>
      <c r="V647" s="2"/>
      <c r="W647" s="2"/>
      <c r="AC647" s="2"/>
      <c r="AD647" s="2"/>
      <c r="AE647" s="2"/>
      <c r="AG647" s="2"/>
    </row>
    <row r="648" customFormat="false" ht="15" hidden="false" customHeight="false" outlineLevel="0" collapsed="false">
      <c r="A648" s="2"/>
      <c r="E648" s="2"/>
      <c r="V648" s="2"/>
      <c r="W648" s="2"/>
      <c r="AC648" s="2"/>
      <c r="AD648" s="2"/>
      <c r="AE648" s="2"/>
      <c r="AG648" s="2"/>
    </row>
    <row r="649" customFormat="false" ht="15" hidden="false" customHeight="false" outlineLevel="0" collapsed="false">
      <c r="A649" s="2"/>
      <c r="E649" s="2"/>
      <c r="V649" s="2"/>
      <c r="W649" s="2"/>
      <c r="AC649" s="2"/>
      <c r="AD649" s="2"/>
      <c r="AE649" s="2"/>
      <c r="AG649" s="2"/>
    </row>
    <row r="650" customFormat="false" ht="15" hidden="false" customHeight="false" outlineLevel="0" collapsed="false">
      <c r="A650" s="2"/>
      <c r="E650" s="2"/>
      <c r="V650" s="2"/>
      <c r="W650" s="2"/>
      <c r="AC650" s="2"/>
      <c r="AD650" s="2"/>
      <c r="AE650" s="2"/>
      <c r="AG650" s="2"/>
    </row>
    <row r="651" customFormat="false" ht="15" hidden="false" customHeight="false" outlineLevel="0" collapsed="false">
      <c r="A651" s="2"/>
      <c r="E651" s="2"/>
      <c r="V651" s="2"/>
      <c r="W651" s="2"/>
      <c r="AC651" s="2"/>
      <c r="AD651" s="2"/>
      <c r="AE651" s="2"/>
      <c r="AG651" s="2"/>
    </row>
    <row r="652" customFormat="false" ht="15" hidden="false" customHeight="false" outlineLevel="0" collapsed="false">
      <c r="A652" s="2"/>
      <c r="E652" s="2"/>
      <c r="V652" s="2"/>
      <c r="W652" s="2"/>
      <c r="AC652" s="2"/>
      <c r="AD652" s="2"/>
      <c r="AE652" s="2"/>
      <c r="AG652" s="2"/>
    </row>
    <row r="653" customFormat="false" ht="15" hidden="false" customHeight="false" outlineLevel="0" collapsed="false">
      <c r="A653" s="2"/>
      <c r="E653" s="2"/>
      <c r="V653" s="2"/>
      <c r="W653" s="2"/>
      <c r="AC653" s="2"/>
      <c r="AD653" s="2"/>
      <c r="AE653" s="2"/>
      <c r="AG653" s="2"/>
    </row>
    <row r="654" customFormat="false" ht="15" hidden="false" customHeight="false" outlineLevel="0" collapsed="false">
      <c r="A654" s="2"/>
      <c r="E654" s="2"/>
      <c r="V654" s="2"/>
      <c r="W654" s="2"/>
      <c r="AC654" s="2"/>
      <c r="AD654" s="2"/>
      <c r="AE654" s="2"/>
      <c r="AG654" s="2"/>
    </row>
    <row r="655" customFormat="false" ht="15" hidden="false" customHeight="false" outlineLevel="0" collapsed="false">
      <c r="A655" s="2"/>
      <c r="E655" s="2"/>
      <c r="V655" s="2"/>
      <c r="W655" s="2"/>
      <c r="AC655" s="2"/>
      <c r="AD655" s="2"/>
      <c r="AE655" s="2"/>
      <c r="AG655" s="2"/>
    </row>
    <row r="656" customFormat="false" ht="15" hidden="false" customHeight="false" outlineLevel="0" collapsed="false">
      <c r="A656" s="2"/>
      <c r="E656" s="2"/>
      <c r="V656" s="2"/>
      <c r="W656" s="2"/>
      <c r="AC656" s="2"/>
      <c r="AD656" s="2"/>
      <c r="AE656" s="2"/>
      <c r="AG656" s="2"/>
    </row>
    <row r="657" customFormat="false" ht="15" hidden="false" customHeight="false" outlineLevel="0" collapsed="false">
      <c r="A657" s="2"/>
      <c r="E657" s="2"/>
      <c r="V657" s="2"/>
      <c r="W657" s="2"/>
      <c r="AC657" s="2"/>
      <c r="AD657" s="2"/>
      <c r="AE657" s="2"/>
      <c r="AG657" s="2"/>
    </row>
    <row r="658" customFormat="false" ht="15" hidden="false" customHeight="false" outlineLevel="0" collapsed="false">
      <c r="A658" s="2"/>
      <c r="E658" s="2"/>
      <c r="V658" s="2"/>
      <c r="W658" s="2"/>
      <c r="AC658" s="2"/>
      <c r="AD658" s="2"/>
      <c r="AE658" s="2"/>
      <c r="AG658" s="2"/>
    </row>
    <row r="659" customFormat="false" ht="15" hidden="false" customHeight="false" outlineLevel="0" collapsed="false">
      <c r="A659" s="2"/>
      <c r="E659" s="2"/>
      <c r="V659" s="2"/>
      <c r="W659" s="2"/>
      <c r="AC659" s="2"/>
      <c r="AD659" s="2"/>
      <c r="AE659" s="2"/>
      <c r="AG659" s="2"/>
    </row>
    <row r="660" customFormat="false" ht="15" hidden="false" customHeight="false" outlineLevel="0" collapsed="false">
      <c r="A660" s="2"/>
      <c r="E660" s="2"/>
      <c r="V660" s="2"/>
      <c r="W660" s="2"/>
      <c r="AC660" s="2"/>
      <c r="AD660" s="2"/>
      <c r="AE660" s="2"/>
      <c r="AG660" s="2"/>
    </row>
    <row r="661" customFormat="false" ht="15" hidden="false" customHeight="false" outlineLevel="0" collapsed="false">
      <c r="A661" s="2"/>
      <c r="E661" s="2"/>
      <c r="V661" s="2"/>
      <c r="W661" s="2"/>
      <c r="AC661" s="2"/>
      <c r="AD661" s="2"/>
      <c r="AE661" s="2"/>
      <c r="AG661" s="2"/>
    </row>
    <row r="662" customFormat="false" ht="15" hidden="false" customHeight="false" outlineLevel="0" collapsed="false">
      <c r="A662" s="2"/>
      <c r="E662" s="2"/>
      <c r="V662" s="2"/>
      <c r="W662" s="2"/>
      <c r="AC662" s="2"/>
      <c r="AD662" s="2"/>
      <c r="AE662" s="2"/>
      <c r="AG662" s="2"/>
    </row>
    <row r="663" customFormat="false" ht="15" hidden="false" customHeight="false" outlineLevel="0" collapsed="false">
      <c r="A663" s="2"/>
      <c r="E663" s="2"/>
      <c r="V663" s="2"/>
      <c r="W663" s="2"/>
      <c r="AC663" s="2"/>
      <c r="AD663" s="2"/>
      <c r="AE663" s="2"/>
      <c r="AG663" s="2"/>
    </row>
    <row r="664" customFormat="false" ht="15" hidden="false" customHeight="false" outlineLevel="0" collapsed="false">
      <c r="A664" s="2"/>
      <c r="E664" s="2"/>
      <c r="V664" s="2"/>
      <c r="W664" s="2"/>
      <c r="AC664" s="2"/>
      <c r="AD664" s="2"/>
      <c r="AE664" s="2"/>
      <c r="AG664" s="2"/>
    </row>
    <row r="665" customFormat="false" ht="15" hidden="false" customHeight="false" outlineLevel="0" collapsed="false">
      <c r="A665" s="2"/>
      <c r="E665" s="2"/>
      <c r="V665" s="2"/>
      <c r="W665" s="2"/>
      <c r="AC665" s="2"/>
      <c r="AD665" s="2"/>
      <c r="AE665" s="2"/>
      <c r="AG665" s="2"/>
    </row>
    <row r="666" customFormat="false" ht="15" hidden="false" customHeight="false" outlineLevel="0" collapsed="false">
      <c r="A666" s="2"/>
      <c r="E666" s="2"/>
      <c r="V666" s="2"/>
      <c r="W666" s="2"/>
      <c r="AC666" s="2"/>
      <c r="AD666" s="2"/>
      <c r="AE666" s="2"/>
      <c r="AG666" s="2"/>
    </row>
    <row r="667" customFormat="false" ht="15" hidden="false" customHeight="false" outlineLevel="0" collapsed="false">
      <c r="A667" s="2"/>
      <c r="E667" s="2"/>
      <c r="V667" s="2"/>
      <c r="W667" s="2"/>
      <c r="AC667" s="2"/>
      <c r="AD667" s="2"/>
      <c r="AE667" s="2"/>
      <c r="AG667" s="2"/>
    </row>
    <row r="668" customFormat="false" ht="15" hidden="false" customHeight="false" outlineLevel="0" collapsed="false">
      <c r="A668" s="2"/>
      <c r="E668" s="2"/>
      <c r="V668" s="2"/>
      <c r="W668" s="2"/>
      <c r="AC668" s="2"/>
      <c r="AD668" s="2"/>
      <c r="AE668" s="2"/>
      <c r="AG668" s="2"/>
    </row>
    <row r="669" customFormat="false" ht="15" hidden="false" customHeight="false" outlineLevel="0" collapsed="false">
      <c r="A669" s="2"/>
      <c r="E669" s="2"/>
      <c r="V669" s="2"/>
      <c r="W669" s="2"/>
      <c r="AC669" s="2"/>
      <c r="AD669" s="2"/>
      <c r="AE669" s="2"/>
      <c r="AG669" s="2"/>
    </row>
    <row r="670" customFormat="false" ht="15" hidden="false" customHeight="false" outlineLevel="0" collapsed="false">
      <c r="A670" s="2"/>
      <c r="E670" s="2"/>
      <c r="V670" s="2"/>
      <c r="W670" s="2"/>
      <c r="AC670" s="2"/>
      <c r="AD670" s="2"/>
      <c r="AE670" s="2"/>
      <c r="AG670" s="2"/>
    </row>
    <row r="671" customFormat="false" ht="15" hidden="false" customHeight="false" outlineLevel="0" collapsed="false">
      <c r="A671" s="2"/>
      <c r="E671" s="2"/>
      <c r="V671" s="2"/>
      <c r="W671" s="2"/>
      <c r="AC671" s="2"/>
      <c r="AD671" s="2"/>
      <c r="AE671" s="2"/>
      <c r="AG671" s="2"/>
    </row>
    <row r="672" customFormat="false" ht="15" hidden="false" customHeight="false" outlineLevel="0" collapsed="false">
      <c r="A672" s="2"/>
      <c r="E672" s="2"/>
      <c r="V672" s="2"/>
      <c r="W672" s="2"/>
      <c r="AC672" s="2"/>
      <c r="AD672" s="2"/>
      <c r="AE672" s="2"/>
      <c r="AG672" s="2"/>
    </row>
    <row r="673" customFormat="false" ht="15" hidden="false" customHeight="false" outlineLevel="0" collapsed="false">
      <c r="A673" s="2"/>
      <c r="E673" s="2"/>
      <c r="V673" s="2"/>
      <c r="W673" s="2"/>
      <c r="AC673" s="2"/>
      <c r="AD673" s="2"/>
      <c r="AE673" s="2"/>
      <c r="AG673" s="2"/>
    </row>
    <row r="674" customFormat="false" ht="15" hidden="false" customHeight="false" outlineLevel="0" collapsed="false">
      <c r="A674" s="2"/>
      <c r="E674" s="2"/>
      <c r="V674" s="2"/>
      <c r="W674" s="2"/>
      <c r="AC674" s="2"/>
      <c r="AD674" s="2"/>
      <c r="AE674" s="2"/>
      <c r="AG674" s="2"/>
    </row>
    <row r="675" customFormat="false" ht="15" hidden="false" customHeight="false" outlineLevel="0" collapsed="false">
      <c r="A675" s="2"/>
      <c r="E675" s="2"/>
      <c r="V675" s="2"/>
      <c r="W675" s="2"/>
      <c r="AC675" s="2"/>
      <c r="AD675" s="2"/>
      <c r="AE675" s="2"/>
      <c r="AG675" s="2"/>
    </row>
    <row r="676" customFormat="false" ht="15" hidden="false" customHeight="false" outlineLevel="0" collapsed="false">
      <c r="A676" s="2"/>
      <c r="E676" s="2"/>
      <c r="V676" s="2"/>
      <c r="W676" s="2"/>
      <c r="AC676" s="2"/>
      <c r="AD676" s="2"/>
      <c r="AE676" s="2"/>
      <c r="AG676" s="2"/>
    </row>
    <row r="677" customFormat="false" ht="15" hidden="false" customHeight="false" outlineLevel="0" collapsed="false">
      <c r="A677" s="2"/>
      <c r="E677" s="2"/>
      <c r="V677" s="2"/>
      <c r="W677" s="2"/>
      <c r="AC677" s="2"/>
      <c r="AD677" s="2"/>
      <c r="AE677" s="2"/>
      <c r="AG677" s="2"/>
    </row>
    <row r="678" customFormat="false" ht="15" hidden="false" customHeight="false" outlineLevel="0" collapsed="false">
      <c r="A678" s="2"/>
      <c r="E678" s="2"/>
      <c r="V678" s="2"/>
      <c r="W678" s="2"/>
      <c r="AC678" s="2"/>
      <c r="AD678" s="2"/>
      <c r="AE678" s="2"/>
      <c r="AG678" s="2"/>
    </row>
    <row r="679" customFormat="false" ht="15" hidden="false" customHeight="false" outlineLevel="0" collapsed="false">
      <c r="A679" s="2"/>
      <c r="E679" s="2"/>
      <c r="V679" s="2"/>
      <c r="W679" s="2"/>
      <c r="AC679" s="2"/>
      <c r="AD679" s="2"/>
      <c r="AE679" s="2"/>
      <c r="AG679" s="2"/>
    </row>
    <row r="680" customFormat="false" ht="15" hidden="false" customHeight="false" outlineLevel="0" collapsed="false">
      <c r="A680" s="2"/>
      <c r="E680" s="2"/>
      <c r="V680" s="2"/>
      <c r="W680" s="2"/>
      <c r="AC680" s="2"/>
      <c r="AD680" s="2"/>
      <c r="AE680" s="2"/>
      <c r="AG680" s="2"/>
    </row>
    <row r="681" customFormat="false" ht="15" hidden="false" customHeight="false" outlineLevel="0" collapsed="false">
      <c r="A681" s="2"/>
      <c r="E681" s="2"/>
      <c r="V681" s="2"/>
      <c r="W681" s="2"/>
      <c r="AC681" s="2"/>
      <c r="AD681" s="2"/>
      <c r="AE681" s="2"/>
      <c r="AG681" s="2"/>
    </row>
    <row r="682" customFormat="false" ht="15" hidden="false" customHeight="false" outlineLevel="0" collapsed="false">
      <c r="A682" s="2"/>
      <c r="E682" s="2"/>
      <c r="V682" s="2"/>
      <c r="W682" s="2"/>
      <c r="AC682" s="2"/>
      <c r="AD682" s="2"/>
      <c r="AE682" s="2"/>
      <c r="AG682" s="2"/>
    </row>
    <row r="683" customFormat="false" ht="15" hidden="false" customHeight="false" outlineLevel="0" collapsed="false">
      <c r="A683" s="2"/>
      <c r="E683" s="2"/>
      <c r="V683" s="2"/>
      <c r="W683" s="2"/>
      <c r="AC683" s="2"/>
      <c r="AD683" s="2"/>
      <c r="AE683" s="2"/>
      <c r="AG683" s="2"/>
    </row>
    <row r="684" customFormat="false" ht="15" hidden="false" customHeight="false" outlineLevel="0" collapsed="false">
      <c r="A684" s="2"/>
      <c r="E684" s="2"/>
      <c r="V684" s="2"/>
      <c r="W684" s="2"/>
      <c r="AC684" s="2"/>
      <c r="AD684" s="2"/>
      <c r="AE684" s="2"/>
      <c r="AG684" s="2"/>
    </row>
    <row r="685" customFormat="false" ht="15" hidden="false" customHeight="false" outlineLevel="0" collapsed="false">
      <c r="A685" s="2"/>
      <c r="E685" s="2"/>
      <c r="V685" s="2"/>
      <c r="W685" s="2"/>
      <c r="AC685" s="2"/>
      <c r="AD685" s="2"/>
      <c r="AE685" s="2"/>
      <c r="AG685" s="2"/>
    </row>
    <row r="686" customFormat="false" ht="15" hidden="false" customHeight="false" outlineLevel="0" collapsed="false">
      <c r="A686" s="2"/>
      <c r="E686" s="2"/>
      <c r="V686" s="2"/>
      <c r="W686" s="2"/>
      <c r="AC686" s="2"/>
      <c r="AD686" s="2"/>
      <c r="AE686" s="2"/>
      <c r="AG686" s="2"/>
    </row>
    <row r="687" customFormat="false" ht="15" hidden="false" customHeight="false" outlineLevel="0" collapsed="false">
      <c r="A687" s="2"/>
      <c r="E687" s="2"/>
      <c r="V687" s="2"/>
      <c r="W687" s="2"/>
      <c r="AC687" s="2"/>
      <c r="AD687" s="2"/>
      <c r="AE687" s="2"/>
      <c r="AG687" s="2"/>
    </row>
    <row r="688" customFormat="false" ht="15" hidden="false" customHeight="false" outlineLevel="0" collapsed="false">
      <c r="A688" s="2"/>
      <c r="E688" s="2"/>
      <c r="V688" s="2"/>
      <c r="W688" s="2"/>
      <c r="AC688" s="2"/>
      <c r="AD688" s="2"/>
      <c r="AE688" s="2"/>
      <c r="AG688" s="2"/>
    </row>
    <row r="689" customFormat="false" ht="15" hidden="false" customHeight="false" outlineLevel="0" collapsed="false">
      <c r="A689" s="2"/>
      <c r="E689" s="2"/>
      <c r="V689" s="2"/>
      <c r="W689" s="2"/>
      <c r="AC689" s="2"/>
      <c r="AD689" s="2"/>
      <c r="AE689" s="2"/>
      <c r="AG689" s="2"/>
    </row>
    <row r="690" customFormat="false" ht="15" hidden="false" customHeight="false" outlineLevel="0" collapsed="false">
      <c r="A690" s="2"/>
      <c r="E690" s="2"/>
      <c r="V690" s="2"/>
      <c r="W690" s="2"/>
      <c r="AC690" s="2"/>
      <c r="AD690" s="2"/>
      <c r="AE690" s="2"/>
      <c r="AG690" s="2"/>
    </row>
    <row r="691" customFormat="false" ht="15" hidden="false" customHeight="false" outlineLevel="0" collapsed="false">
      <c r="A691" s="2"/>
      <c r="E691" s="2"/>
      <c r="V691" s="2"/>
      <c r="W691" s="2"/>
      <c r="AC691" s="2"/>
      <c r="AD691" s="2"/>
      <c r="AE691" s="2"/>
      <c r="AG691" s="2"/>
    </row>
    <row r="692" customFormat="false" ht="15" hidden="false" customHeight="false" outlineLevel="0" collapsed="false">
      <c r="A692" s="2"/>
      <c r="E692" s="2"/>
      <c r="V692" s="2"/>
      <c r="W692" s="2"/>
      <c r="AC692" s="2"/>
      <c r="AD692" s="2"/>
      <c r="AE692" s="2"/>
      <c r="AG692" s="2"/>
    </row>
    <row r="693" customFormat="false" ht="15" hidden="false" customHeight="false" outlineLevel="0" collapsed="false">
      <c r="A693" s="2"/>
      <c r="E693" s="2"/>
      <c r="V693" s="2"/>
      <c r="W693" s="2"/>
      <c r="AC693" s="2"/>
      <c r="AD693" s="2"/>
      <c r="AE693" s="2"/>
      <c r="AG693" s="2"/>
    </row>
    <row r="694" customFormat="false" ht="15" hidden="false" customHeight="false" outlineLevel="0" collapsed="false">
      <c r="A694" s="2"/>
      <c r="E694" s="2"/>
      <c r="V694" s="2"/>
      <c r="W694" s="2"/>
      <c r="AC694" s="2"/>
      <c r="AD694" s="2"/>
      <c r="AE694" s="2"/>
      <c r="AG694" s="2"/>
    </row>
    <row r="695" customFormat="false" ht="15" hidden="false" customHeight="false" outlineLevel="0" collapsed="false">
      <c r="A695" s="2"/>
      <c r="E695" s="2"/>
      <c r="V695" s="2"/>
      <c r="W695" s="2"/>
      <c r="AC695" s="2"/>
      <c r="AD695" s="2"/>
      <c r="AE695" s="2"/>
      <c r="AG695" s="2"/>
    </row>
    <row r="696" customFormat="false" ht="15" hidden="false" customHeight="false" outlineLevel="0" collapsed="false">
      <c r="A696" s="2"/>
      <c r="E696" s="2"/>
      <c r="V696" s="2"/>
      <c r="W696" s="2"/>
      <c r="AC696" s="2"/>
      <c r="AD696" s="2"/>
      <c r="AE696" s="2"/>
      <c r="AG696" s="2"/>
    </row>
    <row r="697" customFormat="false" ht="15" hidden="false" customHeight="false" outlineLevel="0" collapsed="false">
      <c r="A697" s="2"/>
      <c r="E697" s="2"/>
      <c r="V697" s="2"/>
      <c r="W697" s="2"/>
      <c r="AC697" s="2"/>
      <c r="AD697" s="2"/>
      <c r="AE697" s="2"/>
      <c r="AG697" s="2"/>
    </row>
    <row r="698" customFormat="false" ht="15" hidden="false" customHeight="false" outlineLevel="0" collapsed="false">
      <c r="A698" s="2"/>
      <c r="E698" s="2"/>
      <c r="V698" s="2"/>
      <c r="W698" s="2"/>
      <c r="AC698" s="2"/>
      <c r="AD698" s="2"/>
      <c r="AE698" s="2"/>
      <c r="AG698" s="2"/>
    </row>
    <row r="699" customFormat="false" ht="15" hidden="false" customHeight="false" outlineLevel="0" collapsed="false">
      <c r="A699" s="2"/>
      <c r="E699" s="2"/>
      <c r="V699" s="2"/>
      <c r="W699" s="2"/>
      <c r="AC699" s="2"/>
      <c r="AD699" s="2"/>
      <c r="AE699" s="2"/>
      <c r="AG699" s="2"/>
    </row>
    <row r="700" customFormat="false" ht="15" hidden="false" customHeight="false" outlineLevel="0" collapsed="false">
      <c r="A700" s="2"/>
      <c r="E700" s="2"/>
      <c r="V700" s="2"/>
      <c r="W700" s="2"/>
      <c r="AC700" s="2"/>
      <c r="AD700" s="2"/>
      <c r="AE700" s="2"/>
      <c r="AG700" s="2"/>
    </row>
    <row r="701" customFormat="false" ht="15" hidden="false" customHeight="false" outlineLevel="0" collapsed="false">
      <c r="A701" s="2"/>
      <c r="E701" s="2"/>
      <c r="V701" s="2"/>
      <c r="W701" s="2"/>
      <c r="AC701" s="2"/>
      <c r="AD701" s="2"/>
      <c r="AE701" s="2"/>
      <c r="AG701" s="2"/>
    </row>
    <row r="702" customFormat="false" ht="15" hidden="false" customHeight="false" outlineLevel="0" collapsed="false">
      <c r="A702" s="2"/>
      <c r="E702" s="2"/>
      <c r="V702" s="2"/>
      <c r="W702" s="2"/>
      <c r="AC702" s="2"/>
      <c r="AD702" s="2"/>
      <c r="AE702" s="2"/>
      <c r="AG702" s="2"/>
    </row>
    <row r="703" customFormat="false" ht="15" hidden="false" customHeight="false" outlineLevel="0" collapsed="false">
      <c r="A703" s="2"/>
      <c r="E703" s="2"/>
      <c r="V703" s="2"/>
      <c r="W703" s="2"/>
      <c r="AC703" s="2"/>
      <c r="AD703" s="2"/>
      <c r="AE703" s="2"/>
      <c r="AG703" s="2"/>
    </row>
    <row r="704" customFormat="false" ht="15" hidden="false" customHeight="false" outlineLevel="0" collapsed="false">
      <c r="A704" s="2"/>
      <c r="E704" s="2"/>
      <c r="V704" s="2"/>
      <c r="W704" s="2"/>
      <c r="AC704" s="2"/>
      <c r="AD704" s="2"/>
      <c r="AE704" s="2"/>
      <c r="AG704" s="2"/>
    </row>
    <row r="705" customFormat="false" ht="15" hidden="false" customHeight="false" outlineLevel="0" collapsed="false">
      <c r="A705" s="2"/>
      <c r="E705" s="2"/>
      <c r="V705" s="2"/>
      <c r="W705" s="2"/>
      <c r="AC705" s="2"/>
      <c r="AD705" s="2"/>
      <c r="AE705" s="2"/>
      <c r="AG705" s="2"/>
    </row>
    <row r="706" customFormat="false" ht="15" hidden="false" customHeight="false" outlineLevel="0" collapsed="false">
      <c r="A706" s="2"/>
      <c r="E706" s="2"/>
      <c r="V706" s="2"/>
      <c r="W706" s="2"/>
      <c r="AC706" s="2"/>
      <c r="AD706" s="2"/>
      <c r="AE706" s="2"/>
      <c r="AG706" s="2"/>
    </row>
    <row r="707" customFormat="false" ht="15" hidden="false" customHeight="false" outlineLevel="0" collapsed="false">
      <c r="A707" s="2"/>
      <c r="E707" s="2"/>
      <c r="V707" s="2"/>
      <c r="W707" s="2"/>
      <c r="AC707" s="2"/>
      <c r="AD707" s="2"/>
      <c r="AE707" s="2"/>
      <c r="AG707" s="2"/>
    </row>
    <row r="708" customFormat="false" ht="15" hidden="false" customHeight="false" outlineLevel="0" collapsed="false">
      <c r="A708" s="2"/>
      <c r="E708" s="2"/>
      <c r="V708" s="2"/>
      <c r="W708" s="2"/>
      <c r="AC708" s="2"/>
      <c r="AD708" s="2"/>
      <c r="AE708" s="2"/>
      <c r="AG708" s="2"/>
    </row>
    <row r="709" customFormat="false" ht="15" hidden="false" customHeight="false" outlineLevel="0" collapsed="false">
      <c r="A709" s="2"/>
      <c r="E709" s="2"/>
      <c r="V709" s="2"/>
      <c r="W709" s="2"/>
      <c r="AC709" s="2"/>
      <c r="AD709" s="2"/>
      <c r="AE709" s="2"/>
      <c r="AG709" s="2"/>
    </row>
    <row r="710" customFormat="false" ht="15" hidden="false" customHeight="false" outlineLevel="0" collapsed="false">
      <c r="A710" s="2"/>
      <c r="E710" s="2"/>
      <c r="V710" s="2"/>
      <c r="W710" s="2"/>
      <c r="AC710" s="2"/>
      <c r="AD710" s="2"/>
      <c r="AE710" s="2"/>
      <c r="AG710" s="2"/>
    </row>
    <row r="711" customFormat="false" ht="15" hidden="false" customHeight="false" outlineLevel="0" collapsed="false">
      <c r="A711" s="2"/>
      <c r="E711" s="2"/>
      <c r="V711" s="2"/>
      <c r="W711" s="2"/>
      <c r="AC711" s="2"/>
      <c r="AD711" s="2"/>
      <c r="AE711" s="2"/>
      <c r="AG711" s="2"/>
    </row>
    <row r="712" customFormat="false" ht="15" hidden="false" customHeight="false" outlineLevel="0" collapsed="false">
      <c r="A712" s="2"/>
      <c r="E712" s="2"/>
      <c r="V712" s="2"/>
      <c r="W712" s="2"/>
      <c r="AC712" s="2"/>
      <c r="AD712" s="2"/>
      <c r="AE712" s="2"/>
      <c r="AG712" s="2"/>
    </row>
    <row r="713" customFormat="false" ht="15" hidden="false" customHeight="false" outlineLevel="0" collapsed="false">
      <c r="A713" s="2"/>
      <c r="E713" s="2"/>
      <c r="V713" s="2"/>
      <c r="W713" s="2"/>
      <c r="AC713" s="2"/>
      <c r="AD713" s="2"/>
      <c r="AE713" s="2"/>
      <c r="AG713" s="2"/>
    </row>
    <row r="714" customFormat="false" ht="15" hidden="false" customHeight="false" outlineLevel="0" collapsed="false">
      <c r="A714" s="2"/>
      <c r="E714" s="2"/>
      <c r="V714" s="2"/>
      <c r="W714" s="2"/>
      <c r="AC714" s="2"/>
      <c r="AD714" s="2"/>
      <c r="AE714" s="2"/>
      <c r="AG714" s="2"/>
    </row>
    <row r="715" customFormat="false" ht="15" hidden="false" customHeight="false" outlineLevel="0" collapsed="false">
      <c r="A715" s="2"/>
      <c r="E715" s="2"/>
      <c r="V715" s="2"/>
      <c r="W715" s="2"/>
      <c r="AC715" s="2"/>
      <c r="AD715" s="2"/>
      <c r="AE715" s="2"/>
      <c r="AG715" s="2"/>
    </row>
    <row r="716" customFormat="false" ht="15" hidden="false" customHeight="false" outlineLevel="0" collapsed="false">
      <c r="A716" s="2"/>
      <c r="E716" s="2"/>
      <c r="V716" s="2"/>
      <c r="W716" s="2"/>
      <c r="AC716" s="2"/>
      <c r="AD716" s="2"/>
      <c r="AE716" s="2"/>
      <c r="AG716" s="2"/>
    </row>
    <row r="717" customFormat="false" ht="15" hidden="false" customHeight="false" outlineLevel="0" collapsed="false">
      <c r="A717" s="2"/>
      <c r="E717" s="2"/>
      <c r="V717" s="2"/>
      <c r="W717" s="2"/>
      <c r="AC717" s="2"/>
      <c r="AD717" s="2"/>
      <c r="AE717" s="2"/>
      <c r="AG717" s="2"/>
    </row>
    <row r="718" customFormat="false" ht="15" hidden="false" customHeight="false" outlineLevel="0" collapsed="false">
      <c r="A718" s="2"/>
      <c r="E718" s="2"/>
      <c r="V718" s="2"/>
      <c r="W718" s="2"/>
      <c r="AC718" s="2"/>
      <c r="AD718" s="2"/>
      <c r="AE718" s="2"/>
      <c r="AG718" s="2"/>
    </row>
    <row r="719" customFormat="false" ht="15" hidden="false" customHeight="false" outlineLevel="0" collapsed="false">
      <c r="A719" s="2"/>
      <c r="E719" s="2"/>
      <c r="V719" s="2"/>
      <c r="W719" s="2"/>
      <c r="AC719" s="2"/>
      <c r="AD719" s="2"/>
      <c r="AE719" s="2"/>
      <c r="AG719" s="2"/>
    </row>
    <row r="720" customFormat="false" ht="15" hidden="false" customHeight="false" outlineLevel="0" collapsed="false">
      <c r="A720" s="2"/>
      <c r="E720" s="2"/>
      <c r="V720" s="2"/>
      <c r="W720" s="2"/>
      <c r="AC720" s="2"/>
      <c r="AD720" s="2"/>
      <c r="AE720" s="2"/>
      <c r="AG720" s="2"/>
    </row>
    <row r="721" customFormat="false" ht="15" hidden="false" customHeight="false" outlineLevel="0" collapsed="false">
      <c r="A721" s="2"/>
      <c r="E721" s="2"/>
      <c r="V721" s="2"/>
      <c r="W721" s="2"/>
      <c r="AC721" s="2"/>
      <c r="AD721" s="2"/>
      <c r="AE721" s="2"/>
      <c r="AG721" s="2"/>
    </row>
    <row r="722" customFormat="false" ht="15" hidden="false" customHeight="false" outlineLevel="0" collapsed="false">
      <c r="A722" s="2"/>
      <c r="E722" s="2"/>
      <c r="V722" s="2"/>
      <c r="W722" s="2"/>
      <c r="AC722" s="2"/>
      <c r="AD722" s="2"/>
      <c r="AE722" s="2"/>
      <c r="AG722" s="2"/>
    </row>
    <row r="723" customFormat="false" ht="15" hidden="false" customHeight="false" outlineLevel="0" collapsed="false">
      <c r="A723" s="2"/>
      <c r="E723" s="2"/>
      <c r="V723" s="2"/>
      <c r="W723" s="2"/>
      <c r="AC723" s="2"/>
      <c r="AD723" s="2"/>
      <c r="AE723" s="2"/>
      <c r="AG723" s="2"/>
    </row>
    <row r="724" customFormat="false" ht="15" hidden="false" customHeight="false" outlineLevel="0" collapsed="false">
      <c r="A724" s="2"/>
      <c r="E724" s="2"/>
      <c r="V724" s="2"/>
      <c r="W724" s="2"/>
      <c r="AC724" s="2"/>
      <c r="AD724" s="2"/>
      <c r="AE724" s="2"/>
      <c r="AG724" s="2"/>
    </row>
    <row r="725" customFormat="false" ht="15" hidden="false" customHeight="false" outlineLevel="0" collapsed="false">
      <c r="A725" s="2"/>
      <c r="E725" s="2"/>
      <c r="V725" s="2"/>
      <c r="W725" s="2"/>
      <c r="AC725" s="2"/>
      <c r="AD725" s="2"/>
      <c r="AE725" s="2"/>
      <c r="AG725" s="2"/>
    </row>
    <row r="726" customFormat="false" ht="15" hidden="false" customHeight="false" outlineLevel="0" collapsed="false">
      <c r="A726" s="2"/>
      <c r="E726" s="2"/>
      <c r="V726" s="2"/>
      <c r="W726" s="2"/>
      <c r="AC726" s="2"/>
      <c r="AD726" s="2"/>
      <c r="AE726" s="2"/>
      <c r="AG726" s="2"/>
    </row>
    <row r="727" customFormat="false" ht="15" hidden="false" customHeight="false" outlineLevel="0" collapsed="false">
      <c r="A727" s="2"/>
      <c r="E727" s="2"/>
      <c r="V727" s="2"/>
      <c r="W727" s="2"/>
      <c r="AC727" s="2"/>
      <c r="AD727" s="2"/>
      <c r="AE727" s="2"/>
      <c r="AG727" s="2"/>
    </row>
    <row r="728" customFormat="false" ht="15" hidden="false" customHeight="false" outlineLevel="0" collapsed="false">
      <c r="A728" s="2"/>
      <c r="E728" s="2"/>
      <c r="V728" s="2"/>
      <c r="W728" s="2"/>
      <c r="AC728" s="2"/>
      <c r="AD728" s="2"/>
      <c r="AE728" s="2"/>
      <c r="AG728" s="2"/>
    </row>
    <row r="729" customFormat="false" ht="15" hidden="false" customHeight="false" outlineLevel="0" collapsed="false">
      <c r="A729" s="2"/>
      <c r="E729" s="2"/>
      <c r="V729" s="2"/>
      <c r="W729" s="2"/>
      <c r="AC729" s="2"/>
      <c r="AD729" s="2"/>
      <c r="AE729" s="2"/>
      <c r="AG729" s="2"/>
    </row>
    <row r="730" customFormat="false" ht="15" hidden="false" customHeight="false" outlineLevel="0" collapsed="false">
      <c r="A730" s="2"/>
      <c r="E730" s="2"/>
      <c r="V730" s="2"/>
      <c r="W730" s="2"/>
      <c r="AC730" s="2"/>
      <c r="AD730" s="2"/>
      <c r="AE730" s="2"/>
      <c r="AG730" s="2"/>
    </row>
    <row r="731" customFormat="false" ht="15" hidden="false" customHeight="false" outlineLevel="0" collapsed="false">
      <c r="A731" s="2"/>
      <c r="E731" s="2"/>
      <c r="V731" s="2"/>
      <c r="W731" s="2"/>
      <c r="AC731" s="2"/>
      <c r="AD731" s="2"/>
      <c r="AE731" s="2"/>
      <c r="AG731" s="2"/>
    </row>
    <row r="732" customFormat="false" ht="15" hidden="false" customHeight="false" outlineLevel="0" collapsed="false">
      <c r="A732" s="2"/>
      <c r="E732" s="2"/>
      <c r="V732" s="2"/>
      <c r="W732" s="2"/>
      <c r="AC732" s="2"/>
      <c r="AD732" s="2"/>
      <c r="AE732" s="2"/>
      <c r="AG732" s="2"/>
    </row>
    <row r="733" customFormat="false" ht="15" hidden="false" customHeight="false" outlineLevel="0" collapsed="false">
      <c r="A733" s="2"/>
      <c r="E733" s="2"/>
      <c r="V733" s="2"/>
      <c r="W733" s="2"/>
      <c r="AC733" s="2"/>
      <c r="AD733" s="2"/>
      <c r="AE733" s="2"/>
      <c r="AG733" s="2"/>
    </row>
    <row r="734" customFormat="false" ht="15" hidden="false" customHeight="false" outlineLevel="0" collapsed="false">
      <c r="A734" s="2"/>
      <c r="E734" s="2"/>
      <c r="V734" s="2"/>
      <c r="W734" s="2"/>
      <c r="AC734" s="2"/>
      <c r="AD734" s="2"/>
      <c r="AE734" s="2"/>
      <c r="AG734" s="2"/>
    </row>
    <row r="735" customFormat="false" ht="15" hidden="false" customHeight="false" outlineLevel="0" collapsed="false">
      <c r="A735" s="2"/>
      <c r="E735" s="2"/>
      <c r="V735" s="2"/>
      <c r="W735" s="2"/>
      <c r="AC735" s="2"/>
      <c r="AD735" s="2"/>
      <c r="AE735" s="2"/>
      <c r="AG735" s="2"/>
    </row>
    <row r="736" customFormat="false" ht="15" hidden="false" customHeight="false" outlineLevel="0" collapsed="false">
      <c r="A736" s="2"/>
      <c r="E736" s="2"/>
      <c r="V736" s="2"/>
      <c r="W736" s="2"/>
      <c r="AC736" s="2"/>
      <c r="AD736" s="2"/>
      <c r="AE736" s="2"/>
      <c r="AG736" s="2"/>
    </row>
    <row r="737" customFormat="false" ht="15" hidden="false" customHeight="false" outlineLevel="0" collapsed="false">
      <c r="A737" s="2"/>
      <c r="E737" s="2"/>
      <c r="V737" s="2"/>
      <c r="W737" s="2"/>
      <c r="AC737" s="2"/>
      <c r="AD737" s="2"/>
      <c r="AE737" s="2"/>
      <c r="AG737" s="2"/>
    </row>
    <row r="738" customFormat="false" ht="15" hidden="false" customHeight="false" outlineLevel="0" collapsed="false">
      <c r="A738" s="2"/>
      <c r="E738" s="2"/>
      <c r="V738" s="2"/>
      <c r="W738" s="2"/>
      <c r="AC738" s="2"/>
      <c r="AD738" s="2"/>
      <c r="AE738" s="2"/>
      <c r="AG738" s="2"/>
    </row>
    <row r="739" customFormat="false" ht="15" hidden="false" customHeight="false" outlineLevel="0" collapsed="false">
      <c r="A739" s="2"/>
      <c r="E739" s="2"/>
      <c r="V739" s="2"/>
      <c r="W739" s="2"/>
      <c r="AC739" s="2"/>
      <c r="AD739" s="2"/>
      <c r="AE739" s="2"/>
      <c r="AG739" s="2"/>
    </row>
    <row r="740" customFormat="false" ht="15" hidden="false" customHeight="false" outlineLevel="0" collapsed="false">
      <c r="A740" s="2"/>
      <c r="E740" s="2"/>
      <c r="V740" s="2"/>
      <c r="W740" s="2"/>
      <c r="AC740" s="2"/>
      <c r="AD740" s="2"/>
      <c r="AE740" s="2"/>
      <c r="AG740" s="2"/>
    </row>
    <row r="741" customFormat="false" ht="15" hidden="false" customHeight="false" outlineLevel="0" collapsed="false">
      <c r="A741" s="2"/>
      <c r="E741" s="2"/>
      <c r="V741" s="2"/>
      <c r="W741" s="2"/>
      <c r="AC741" s="2"/>
      <c r="AD741" s="2"/>
      <c r="AE741" s="2"/>
      <c r="AG741" s="2"/>
    </row>
    <row r="742" customFormat="false" ht="15" hidden="false" customHeight="false" outlineLevel="0" collapsed="false">
      <c r="A742" s="2"/>
      <c r="E742" s="2"/>
      <c r="V742" s="2"/>
      <c r="W742" s="2"/>
      <c r="AC742" s="2"/>
      <c r="AD742" s="2"/>
      <c r="AE742" s="2"/>
      <c r="AG742" s="2"/>
    </row>
    <row r="743" customFormat="false" ht="15" hidden="false" customHeight="false" outlineLevel="0" collapsed="false">
      <c r="A743" s="2"/>
      <c r="E743" s="2"/>
      <c r="V743" s="2"/>
      <c r="W743" s="2"/>
      <c r="AC743" s="2"/>
      <c r="AD743" s="2"/>
      <c r="AE743" s="2"/>
      <c r="AG743" s="2"/>
    </row>
    <row r="744" customFormat="false" ht="15" hidden="false" customHeight="false" outlineLevel="0" collapsed="false">
      <c r="A744" s="2"/>
      <c r="E744" s="2"/>
      <c r="V744" s="2"/>
      <c r="W744" s="2"/>
      <c r="AC744" s="2"/>
      <c r="AD744" s="2"/>
      <c r="AE744" s="2"/>
      <c r="AG744" s="2"/>
    </row>
    <row r="745" customFormat="false" ht="15" hidden="false" customHeight="false" outlineLevel="0" collapsed="false">
      <c r="A745" s="2"/>
      <c r="E745" s="2"/>
      <c r="V745" s="2"/>
      <c r="W745" s="2"/>
      <c r="AC745" s="2"/>
      <c r="AD745" s="2"/>
      <c r="AE745" s="2"/>
      <c r="AG745" s="2"/>
    </row>
    <row r="746" customFormat="false" ht="15" hidden="false" customHeight="false" outlineLevel="0" collapsed="false">
      <c r="A746" s="2"/>
      <c r="E746" s="2"/>
      <c r="V746" s="2"/>
      <c r="W746" s="2"/>
      <c r="AC746" s="2"/>
      <c r="AD746" s="2"/>
      <c r="AE746" s="2"/>
      <c r="AG746" s="2"/>
    </row>
    <row r="747" customFormat="false" ht="15" hidden="false" customHeight="false" outlineLevel="0" collapsed="false">
      <c r="A747" s="2"/>
      <c r="E747" s="2"/>
      <c r="V747" s="2"/>
      <c r="W747" s="2"/>
      <c r="AC747" s="2"/>
      <c r="AD747" s="2"/>
      <c r="AE747" s="2"/>
      <c r="AG747" s="2"/>
    </row>
    <row r="748" customFormat="false" ht="15" hidden="false" customHeight="false" outlineLevel="0" collapsed="false">
      <c r="A748" s="2"/>
      <c r="E748" s="2"/>
      <c r="V748" s="2"/>
      <c r="W748" s="2"/>
      <c r="AC748" s="2"/>
      <c r="AD748" s="2"/>
      <c r="AE748" s="2"/>
      <c r="AG748" s="2"/>
    </row>
    <row r="749" customFormat="false" ht="15" hidden="false" customHeight="false" outlineLevel="0" collapsed="false">
      <c r="A749" s="2"/>
      <c r="E749" s="2"/>
      <c r="V749" s="2"/>
      <c r="W749" s="2"/>
      <c r="AC749" s="2"/>
      <c r="AD749" s="2"/>
      <c r="AE749" s="2"/>
      <c r="AG749" s="2"/>
    </row>
    <row r="750" customFormat="false" ht="15" hidden="false" customHeight="false" outlineLevel="0" collapsed="false">
      <c r="A750" s="2"/>
      <c r="E750" s="2"/>
      <c r="V750" s="2"/>
      <c r="W750" s="2"/>
      <c r="AC750" s="2"/>
      <c r="AD750" s="2"/>
      <c r="AE750" s="2"/>
      <c r="AG750" s="2"/>
    </row>
    <row r="751" customFormat="false" ht="15" hidden="false" customHeight="false" outlineLevel="0" collapsed="false">
      <c r="A751" s="2"/>
      <c r="E751" s="2"/>
      <c r="V751" s="2"/>
      <c r="W751" s="2"/>
      <c r="AC751" s="2"/>
      <c r="AD751" s="2"/>
      <c r="AE751" s="2"/>
      <c r="AG751" s="2"/>
    </row>
    <row r="752" customFormat="false" ht="15" hidden="false" customHeight="false" outlineLevel="0" collapsed="false">
      <c r="A752" s="2"/>
      <c r="E752" s="2"/>
      <c r="V752" s="2"/>
      <c r="W752" s="2"/>
      <c r="AC752" s="2"/>
      <c r="AD752" s="2"/>
      <c r="AE752" s="2"/>
      <c r="AG752" s="2"/>
    </row>
    <row r="753" customFormat="false" ht="15" hidden="false" customHeight="false" outlineLevel="0" collapsed="false">
      <c r="A753" s="2"/>
      <c r="E753" s="2"/>
      <c r="V753" s="2"/>
      <c r="W753" s="2"/>
      <c r="AC753" s="2"/>
      <c r="AD753" s="2"/>
      <c r="AE753" s="2"/>
      <c r="AG753" s="2"/>
    </row>
    <row r="754" customFormat="false" ht="15" hidden="false" customHeight="false" outlineLevel="0" collapsed="false">
      <c r="A754" s="2"/>
      <c r="E754" s="2"/>
      <c r="V754" s="2"/>
      <c r="W754" s="2"/>
      <c r="AC754" s="2"/>
      <c r="AD754" s="2"/>
      <c r="AE754" s="2"/>
      <c r="AG754" s="2"/>
    </row>
    <row r="755" customFormat="false" ht="15" hidden="false" customHeight="false" outlineLevel="0" collapsed="false">
      <c r="A755" s="2"/>
      <c r="E755" s="2"/>
      <c r="V755" s="2"/>
      <c r="W755" s="2"/>
      <c r="AC755" s="2"/>
      <c r="AD755" s="2"/>
      <c r="AE755" s="2"/>
      <c r="AG755" s="2"/>
    </row>
    <row r="756" customFormat="false" ht="15" hidden="false" customHeight="false" outlineLevel="0" collapsed="false">
      <c r="A756" s="2"/>
      <c r="E756" s="2"/>
      <c r="V756" s="2"/>
      <c r="W756" s="2"/>
      <c r="AC756" s="2"/>
      <c r="AD756" s="2"/>
      <c r="AE756" s="2"/>
      <c r="AG756" s="2"/>
    </row>
    <row r="757" customFormat="false" ht="15" hidden="false" customHeight="false" outlineLevel="0" collapsed="false">
      <c r="A757" s="2"/>
      <c r="E757" s="2"/>
      <c r="V757" s="2"/>
      <c r="W757" s="2"/>
      <c r="AC757" s="2"/>
      <c r="AD757" s="2"/>
      <c r="AE757" s="2"/>
      <c r="AG757" s="2"/>
    </row>
    <row r="758" customFormat="false" ht="15" hidden="false" customHeight="false" outlineLevel="0" collapsed="false">
      <c r="A758" s="2"/>
      <c r="E758" s="2"/>
      <c r="V758" s="2"/>
      <c r="W758" s="2"/>
      <c r="AC758" s="2"/>
      <c r="AD758" s="2"/>
      <c r="AE758" s="2"/>
      <c r="AG758" s="2"/>
    </row>
    <row r="759" customFormat="false" ht="15" hidden="false" customHeight="false" outlineLevel="0" collapsed="false">
      <c r="A759" s="2"/>
      <c r="E759" s="2"/>
      <c r="V759" s="2"/>
      <c r="W759" s="2"/>
      <c r="AC759" s="2"/>
      <c r="AD759" s="2"/>
      <c r="AE759" s="2"/>
      <c r="AG759" s="2"/>
    </row>
    <row r="760" customFormat="false" ht="15" hidden="false" customHeight="false" outlineLevel="0" collapsed="false">
      <c r="A760" s="2"/>
      <c r="E760" s="2"/>
      <c r="V760" s="2"/>
      <c r="W760" s="2"/>
      <c r="AC760" s="2"/>
      <c r="AD760" s="2"/>
      <c r="AE760" s="2"/>
      <c r="AG760" s="2"/>
    </row>
    <row r="761" customFormat="false" ht="15" hidden="false" customHeight="false" outlineLevel="0" collapsed="false">
      <c r="A761" s="2"/>
      <c r="E761" s="2"/>
      <c r="V761" s="2"/>
      <c r="W761" s="2"/>
      <c r="AC761" s="2"/>
      <c r="AD761" s="2"/>
      <c r="AE761" s="2"/>
      <c r="AG761" s="2"/>
    </row>
    <row r="762" customFormat="false" ht="15" hidden="false" customHeight="false" outlineLevel="0" collapsed="false">
      <c r="A762" s="2"/>
      <c r="E762" s="2"/>
      <c r="V762" s="2"/>
      <c r="W762" s="2"/>
      <c r="AC762" s="2"/>
      <c r="AD762" s="2"/>
      <c r="AE762" s="2"/>
      <c r="AG762" s="2"/>
    </row>
    <row r="763" customFormat="false" ht="15" hidden="false" customHeight="false" outlineLevel="0" collapsed="false">
      <c r="A763" s="2"/>
      <c r="E763" s="2"/>
      <c r="V763" s="2"/>
      <c r="W763" s="2"/>
      <c r="AC763" s="2"/>
      <c r="AD763" s="2"/>
      <c r="AE763" s="2"/>
      <c r="AG763" s="2"/>
    </row>
    <row r="764" customFormat="false" ht="15" hidden="false" customHeight="false" outlineLevel="0" collapsed="false">
      <c r="A764" s="2"/>
      <c r="E764" s="2"/>
      <c r="V764" s="2"/>
      <c r="W764" s="2"/>
      <c r="AC764" s="2"/>
      <c r="AD764" s="2"/>
      <c r="AE764" s="2"/>
      <c r="AG764" s="2"/>
    </row>
    <row r="765" customFormat="false" ht="15" hidden="false" customHeight="false" outlineLevel="0" collapsed="false">
      <c r="A765" s="2"/>
      <c r="E765" s="2"/>
      <c r="V765" s="2"/>
      <c r="W765" s="2"/>
      <c r="AC765" s="2"/>
      <c r="AD765" s="2"/>
      <c r="AE765" s="2"/>
      <c r="AG765" s="2"/>
    </row>
    <row r="766" customFormat="false" ht="15" hidden="false" customHeight="false" outlineLevel="0" collapsed="false">
      <c r="A766" s="2"/>
      <c r="E766" s="2"/>
      <c r="V766" s="2"/>
      <c r="W766" s="2"/>
      <c r="AC766" s="2"/>
      <c r="AD766" s="2"/>
      <c r="AE766" s="2"/>
      <c r="AG766" s="2"/>
    </row>
    <row r="767" customFormat="false" ht="15" hidden="false" customHeight="false" outlineLevel="0" collapsed="false">
      <c r="A767" s="2"/>
      <c r="E767" s="2"/>
      <c r="V767" s="2"/>
      <c r="W767" s="2"/>
      <c r="AC767" s="2"/>
      <c r="AD767" s="2"/>
      <c r="AE767" s="2"/>
      <c r="AG767" s="2"/>
    </row>
    <row r="768" customFormat="false" ht="15" hidden="false" customHeight="false" outlineLevel="0" collapsed="false">
      <c r="A768" s="2"/>
      <c r="E768" s="2"/>
      <c r="V768" s="2"/>
      <c r="W768" s="2"/>
      <c r="AC768" s="2"/>
      <c r="AD768" s="2"/>
      <c r="AE768" s="2"/>
      <c r="AG768" s="2"/>
    </row>
    <row r="769" customFormat="false" ht="15" hidden="false" customHeight="false" outlineLevel="0" collapsed="false">
      <c r="A769" s="2"/>
      <c r="E769" s="2"/>
      <c r="V769" s="2"/>
      <c r="W769" s="2"/>
      <c r="AC769" s="2"/>
      <c r="AD769" s="2"/>
      <c r="AE769" s="2"/>
      <c r="AG769" s="2"/>
    </row>
    <row r="770" customFormat="false" ht="15" hidden="false" customHeight="false" outlineLevel="0" collapsed="false">
      <c r="A770" s="2"/>
      <c r="E770" s="2"/>
      <c r="V770" s="2"/>
      <c r="W770" s="2"/>
      <c r="AC770" s="2"/>
      <c r="AD770" s="2"/>
      <c r="AE770" s="2"/>
      <c r="AG770" s="2"/>
    </row>
    <row r="771" customFormat="false" ht="15" hidden="false" customHeight="false" outlineLevel="0" collapsed="false">
      <c r="A771" s="2"/>
      <c r="E771" s="2"/>
      <c r="V771" s="2"/>
      <c r="W771" s="2"/>
      <c r="AC771" s="2"/>
      <c r="AD771" s="2"/>
      <c r="AE771" s="2"/>
      <c r="AG771" s="2"/>
    </row>
    <row r="772" customFormat="false" ht="15" hidden="false" customHeight="false" outlineLevel="0" collapsed="false">
      <c r="A772" s="2"/>
      <c r="E772" s="2"/>
      <c r="V772" s="2"/>
      <c r="W772" s="2"/>
      <c r="AC772" s="2"/>
      <c r="AD772" s="2"/>
      <c r="AE772" s="2"/>
      <c r="AG772" s="2"/>
    </row>
    <row r="773" customFormat="false" ht="15" hidden="false" customHeight="false" outlineLevel="0" collapsed="false">
      <c r="A773" s="2"/>
      <c r="E773" s="2"/>
      <c r="V773" s="2"/>
      <c r="W773" s="2"/>
      <c r="AC773" s="2"/>
      <c r="AD773" s="2"/>
      <c r="AE773" s="2"/>
      <c r="AG773" s="2"/>
    </row>
    <row r="774" customFormat="false" ht="15" hidden="false" customHeight="false" outlineLevel="0" collapsed="false">
      <c r="A774" s="2"/>
      <c r="E774" s="2"/>
      <c r="V774" s="2"/>
      <c r="W774" s="2"/>
      <c r="AC774" s="2"/>
      <c r="AD774" s="2"/>
      <c r="AE774" s="2"/>
      <c r="AG774" s="2"/>
    </row>
    <row r="775" customFormat="false" ht="15" hidden="false" customHeight="false" outlineLevel="0" collapsed="false">
      <c r="A775" s="2"/>
      <c r="E775" s="2"/>
      <c r="V775" s="2"/>
      <c r="W775" s="2"/>
      <c r="AC775" s="2"/>
      <c r="AD775" s="2"/>
      <c r="AE775" s="2"/>
      <c r="AG775" s="2"/>
    </row>
    <row r="776" customFormat="false" ht="15" hidden="false" customHeight="false" outlineLevel="0" collapsed="false">
      <c r="A776" s="2"/>
      <c r="E776" s="2"/>
      <c r="V776" s="2"/>
      <c r="W776" s="2"/>
      <c r="AC776" s="2"/>
      <c r="AD776" s="2"/>
      <c r="AE776" s="2"/>
      <c r="AG776" s="2"/>
    </row>
    <row r="777" customFormat="false" ht="15" hidden="false" customHeight="false" outlineLevel="0" collapsed="false">
      <c r="A777" s="2"/>
      <c r="E777" s="2"/>
      <c r="V777" s="2"/>
      <c r="W777" s="2"/>
      <c r="AC777" s="2"/>
      <c r="AD777" s="2"/>
      <c r="AE777" s="2"/>
      <c r="AG777" s="2"/>
    </row>
    <row r="778" customFormat="false" ht="15" hidden="false" customHeight="false" outlineLevel="0" collapsed="false">
      <c r="A778" s="2"/>
      <c r="E778" s="2"/>
      <c r="V778" s="2"/>
      <c r="W778" s="2"/>
      <c r="AC778" s="2"/>
      <c r="AD778" s="2"/>
      <c r="AE778" s="2"/>
      <c r="AG778" s="2"/>
    </row>
    <row r="779" customFormat="false" ht="15" hidden="false" customHeight="false" outlineLevel="0" collapsed="false">
      <c r="A779" s="2"/>
      <c r="E779" s="2"/>
      <c r="V779" s="2"/>
      <c r="W779" s="2"/>
      <c r="AC779" s="2"/>
      <c r="AD779" s="2"/>
      <c r="AE779" s="2"/>
      <c r="AG779" s="2"/>
    </row>
    <row r="780" customFormat="false" ht="15" hidden="false" customHeight="false" outlineLevel="0" collapsed="false">
      <c r="A780" s="2"/>
      <c r="E780" s="2"/>
      <c r="V780" s="2"/>
      <c r="W780" s="2"/>
      <c r="AC780" s="2"/>
      <c r="AD780" s="2"/>
      <c r="AE780" s="2"/>
      <c r="AG780" s="2"/>
    </row>
    <row r="781" customFormat="false" ht="15" hidden="false" customHeight="false" outlineLevel="0" collapsed="false">
      <c r="A781" s="2"/>
      <c r="E781" s="2"/>
      <c r="V781" s="2"/>
      <c r="W781" s="2"/>
      <c r="AC781" s="2"/>
      <c r="AD781" s="2"/>
      <c r="AE781" s="2"/>
      <c r="AG781" s="2"/>
    </row>
    <row r="782" customFormat="false" ht="15" hidden="false" customHeight="false" outlineLevel="0" collapsed="false">
      <c r="A782" s="2"/>
      <c r="E782" s="2"/>
      <c r="V782" s="2"/>
      <c r="W782" s="2"/>
      <c r="AC782" s="2"/>
      <c r="AD782" s="2"/>
      <c r="AE782" s="2"/>
      <c r="AG782" s="2"/>
    </row>
    <row r="783" customFormat="false" ht="15" hidden="false" customHeight="false" outlineLevel="0" collapsed="false">
      <c r="A783" s="2"/>
      <c r="E783" s="2"/>
      <c r="V783" s="2"/>
      <c r="W783" s="2"/>
      <c r="AC783" s="2"/>
      <c r="AD783" s="2"/>
      <c r="AE783" s="2"/>
      <c r="AG783" s="2"/>
    </row>
    <row r="784" customFormat="false" ht="15" hidden="false" customHeight="false" outlineLevel="0" collapsed="false">
      <c r="A784" s="2"/>
      <c r="E784" s="2"/>
      <c r="V784" s="2"/>
      <c r="W784" s="2"/>
      <c r="AC784" s="2"/>
      <c r="AD784" s="2"/>
      <c r="AE784" s="2"/>
      <c r="AG784" s="2"/>
    </row>
    <row r="785" customFormat="false" ht="15" hidden="false" customHeight="false" outlineLevel="0" collapsed="false">
      <c r="A785" s="2"/>
      <c r="E785" s="2"/>
      <c r="V785" s="2"/>
      <c r="W785" s="2"/>
      <c r="AC785" s="2"/>
      <c r="AD785" s="2"/>
      <c r="AE785" s="2"/>
      <c r="AG785" s="2"/>
    </row>
    <row r="786" customFormat="false" ht="15" hidden="false" customHeight="false" outlineLevel="0" collapsed="false">
      <c r="A786" s="2"/>
      <c r="E786" s="2"/>
      <c r="V786" s="2"/>
      <c r="W786" s="2"/>
      <c r="AC786" s="2"/>
      <c r="AD786" s="2"/>
      <c r="AE786" s="2"/>
      <c r="AG786" s="2"/>
    </row>
    <row r="787" customFormat="false" ht="15" hidden="false" customHeight="false" outlineLevel="0" collapsed="false">
      <c r="A787" s="2"/>
      <c r="E787" s="2"/>
      <c r="V787" s="2"/>
      <c r="W787" s="2"/>
      <c r="AC787" s="2"/>
      <c r="AD787" s="2"/>
      <c r="AE787" s="2"/>
      <c r="AG787" s="2"/>
    </row>
    <row r="788" customFormat="false" ht="15" hidden="false" customHeight="false" outlineLevel="0" collapsed="false">
      <c r="A788" s="2"/>
      <c r="E788" s="2"/>
      <c r="V788" s="2"/>
      <c r="W788" s="2"/>
      <c r="AC788" s="2"/>
      <c r="AD788" s="2"/>
      <c r="AE788" s="2"/>
      <c r="AG788" s="2"/>
    </row>
    <row r="789" customFormat="false" ht="15" hidden="false" customHeight="false" outlineLevel="0" collapsed="false">
      <c r="A789" s="2"/>
      <c r="E789" s="2"/>
      <c r="V789" s="2"/>
      <c r="W789" s="2"/>
      <c r="AC789" s="2"/>
      <c r="AD789" s="2"/>
      <c r="AE789" s="2"/>
      <c r="AG789" s="2"/>
    </row>
    <row r="790" customFormat="false" ht="15" hidden="false" customHeight="false" outlineLevel="0" collapsed="false">
      <c r="A790" s="2"/>
      <c r="E790" s="2"/>
      <c r="V790" s="2"/>
      <c r="W790" s="2"/>
      <c r="AC790" s="2"/>
      <c r="AD790" s="2"/>
      <c r="AE790" s="2"/>
      <c r="AG790" s="2"/>
    </row>
    <row r="791" customFormat="false" ht="15" hidden="false" customHeight="false" outlineLevel="0" collapsed="false">
      <c r="A791" s="2"/>
      <c r="E791" s="2"/>
      <c r="V791" s="2"/>
      <c r="W791" s="2"/>
      <c r="AC791" s="2"/>
      <c r="AD791" s="2"/>
      <c r="AE791" s="2"/>
      <c r="AG791" s="2"/>
    </row>
    <row r="792" customFormat="false" ht="15" hidden="false" customHeight="false" outlineLevel="0" collapsed="false">
      <c r="A792" s="2"/>
      <c r="E792" s="2"/>
      <c r="V792" s="2"/>
      <c r="W792" s="2"/>
      <c r="AC792" s="2"/>
      <c r="AD792" s="2"/>
      <c r="AE792" s="2"/>
      <c r="AG792" s="2"/>
    </row>
    <row r="793" customFormat="false" ht="15" hidden="false" customHeight="false" outlineLevel="0" collapsed="false">
      <c r="A793" s="2"/>
      <c r="E793" s="2"/>
      <c r="V793" s="2"/>
      <c r="W793" s="2"/>
      <c r="AC793" s="2"/>
      <c r="AD793" s="2"/>
      <c r="AE793" s="2"/>
      <c r="AG793" s="2"/>
    </row>
    <row r="794" customFormat="false" ht="15" hidden="false" customHeight="false" outlineLevel="0" collapsed="false">
      <c r="A794" s="2"/>
      <c r="E794" s="2"/>
      <c r="V794" s="2"/>
      <c r="W794" s="2"/>
      <c r="AC794" s="2"/>
      <c r="AD794" s="2"/>
      <c r="AE794" s="2"/>
      <c r="AG794" s="2"/>
    </row>
    <row r="795" customFormat="false" ht="15" hidden="false" customHeight="false" outlineLevel="0" collapsed="false">
      <c r="A795" s="2"/>
      <c r="E795" s="2"/>
      <c r="V795" s="2"/>
      <c r="W795" s="2"/>
      <c r="AC795" s="2"/>
      <c r="AD795" s="2"/>
      <c r="AE795" s="2"/>
      <c r="AG795" s="2"/>
    </row>
    <row r="796" customFormat="false" ht="15" hidden="false" customHeight="false" outlineLevel="0" collapsed="false">
      <c r="A796" s="2"/>
      <c r="E796" s="2"/>
      <c r="V796" s="2"/>
      <c r="W796" s="2"/>
      <c r="AC796" s="2"/>
      <c r="AD796" s="2"/>
      <c r="AE796" s="2"/>
      <c r="AG796" s="2"/>
    </row>
    <row r="797" customFormat="false" ht="15" hidden="false" customHeight="false" outlineLevel="0" collapsed="false">
      <c r="A797" s="2"/>
      <c r="E797" s="2"/>
      <c r="V797" s="2"/>
      <c r="W797" s="2"/>
      <c r="AC797" s="2"/>
      <c r="AD797" s="2"/>
      <c r="AE797" s="2"/>
      <c r="AG797" s="2"/>
    </row>
    <row r="798" customFormat="false" ht="15" hidden="false" customHeight="false" outlineLevel="0" collapsed="false">
      <c r="A798" s="2"/>
      <c r="E798" s="2"/>
      <c r="V798" s="2"/>
      <c r="W798" s="2"/>
      <c r="AC798" s="2"/>
      <c r="AD798" s="2"/>
      <c r="AE798" s="2"/>
      <c r="AG798" s="2"/>
    </row>
    <row r="799" customFormat="false" ht="15" hidden="false" customHeight="false" outlineLevel="0" collapsed="false">
      <c r="A799" s="2"/>
      <c r="E799" s="2"/>
      <c r="V799" s="2"/>
      <c r="W799" s="2"/>
      <c r="AC799" s="2"/>
      <c r="AD799" s="2"/>
      <c r="AE799" s="2"/>
      <c r="AG799" s="2"/>
    </row>
    <row r="800" customFormat="false" ht="15" hidden="false" customHeight="false" outlineLevel="0" collapsed="false">
      <c r="A800" s="2"/>
      <c r="E800" s="2"/>
      <c r="V800" s="2"/>
      <c r="W800" s="2"/>
      <c r="AC800" s="2"/>
      <c r="AD800" s="2"/>
      <c r="AE800" s="2"/>
      <c r="AG800" s="2"/>
    </row>
    <row r="801" customFormat="false" ht="15" hidden="false" customHeight="false" outlineLevel="0" collapsed="false">
      <c r="A801" s="2"/>
      <c r="E801" s="2"/>
      <c r="V801" s="2"/>
      <c r="W801" s="2"/>
      <c r="AC801" s="2"/>
      <c r="AD801" s="2"/>
      <c r="AE801" s="2"/>
      <c r="AG801" s="2"/>
    </row>
    <row r="802" customFormat="false" ht="15" hidden="false" customHeight="false" outlineLevel="0" collapsed="false">
      <c r="A802" s="2"/>
      <c r="E802" s="2"/>
      <c r="V802" s="2"/>
      <c r="W802" s="2"/>
      <c r="AC802" s="2"/>
      <c r="AD802" s="2"/>
      <c r="AE802" s="2"/>
      <c r="AG802" s="2"/>
    </row>
    <row r="803" customFormat="false" ht="15" hidden="false" customHeight="false" outlineLevel="0" collapsed="false">
      <c r="A803" s="2"/>
      <c r="E803" s="2"/>
      <c r="V803" s="2"/>
      <c r="W803" s="2"/>
      <c r="AC803" s="2"/>
      <c r="AD803" s="2"/>
      <c r="AE803" s="2"/>
      <c r="AG803" s="2"/>
    </row>
    <row r="804" customFormat="false" ht="15" hidden="false" customHeight="false" outlineLevel="0" collapsed="false">
      <c r="A804" s="2"/>
      <c r="E804" s="2"/>
      <c r="V804" s="2"/>
      <c r="W804" s="2"/>
      <c r="AC804" s="2"/>
      <c r="AD804" s="2"/>
      <c r="AE804" s="2"/>
      <c r="AG804" s="2"/>
    </row>
    <row r="805" customFormat="false" ht="15" hidden="false" customHeight="false" outlineLevel="0" collapsed="false">
      <c r="A805" s="2"/>
      <c r="E805" s="2"/>
      <c r="V805" s="2"/>
      <c r="W805" s="2"/>
      <c r="AC805" s="2"/>
      <c r="AD805" s="2"/>
      <c r="AE805" s="2"/>
      <c r="AG805" s="2"/>
    </row>
    <row r="806" customFormat="false" ht="15" hidden="false" customHeight="false" outlineLevel="0" collapsed="false">
      <c r="A806" s="2"/>
      <c r="E806" s="2"/>
      <c r="V806" s="2"/>
      <c r="W806" s="2"/>
      <c r="AC806" s="2"/>
      <c r="AD806" s="2"/>
      <c r="AE806" s="2"/>
      <c r="AG806" s="2"/>
    </row>
    <row r="807" customFormat="false" ht="15" hidden="false" customHeight="false" outlineLevel="0" collapsed="false">
      <c r="A807" s="2"/>
      <c r="E807" s="2"/>
      <c r="V807" s="2"/>
      <c r="W807" s="2"/>
      <c r="AC807" s="2"/>
      <c r="AD807" s="2"/>
      <c r="AE807" s="2"/>
      <c r="AG807" s="2"/>
    </row>
    <row r="808" customFormat="false" ht="15" hidden="false" customHeight="false" outlineLevel="0" collapsed="false">
      <c r="A808" s="2"/>
      <c r="E808" s="2"/>
      <c r="V808" s="2"/>
      <c r="W808" s="2"/>
      <c r="AC808" s="2"/>
      <c r="AD808" s="2"/>
      <c r="AE808" s="2"/>
      <c r="AG808" s="2"/>
    </row>
    <row r="809" customFormat="false" ht="15" hidden="false" customHeight="false" outlineLevel="0" collapsed="false">
      <c r="A809" s="2"/>
      <c r="E809" s="2"/>
      <c r="V809" s="2"/>
      <c r="W809" s="2"/>
      <c r="AC809" s="2"/>
      <c r="AD809" s="2"/>
      <c r="AE809" s="2"/>
      <c r="AG809" s="2"/>
    </row>
    <row r="810" customFormat="false" ht="15" hidden="false" customHeight="false" outlineLevel="0" collapsed="false">
      <c r="A810" s="2"/>
      <c r="E810" s="2"/>
      <c r="V810" s="2"/>
      <c r="W810" s="2"/>
      <c r="AC810" s="2"/>
      <c r="AD810" s="2"/>
      <c r="AE810" s="2"/>
      <c r="AG810" s="2"/>
    </row>
    <row r="811" customFormat="false" ht="15" hidden="false" customHeight="false" outlineLevel="0" collapsed="false">
      <c r="A811" s="2"/>
      <c r="E811" s="2"/>
      <c r="V811" s="2"/>
      <c r="W811" s="2"/>
      <c r="AC811" s="2"/>
      <c r="AD811" s="2"/>
      <c r="AE811" s="2"/>
      <c r="AG811" s="2"/>
    </row>
    <row r="812" customFormat="false" ht="15" hidden="false" customHeight="false" outlineLevel="0" collapsed="false">
      <c r="A812" s="2"/>
      <c r="E812" s="2"/>
      <c r="V812" s="2"/>
      <c r="W812" s="2"/>
      <c r="AC812" s="2"/>
      <c r="AD812" s="2"/>
      <c r="AE812" s="2"/>
      <c r="AG812" s="2"/>
    </row>
    <row r="813" customFormat="false" ht="15" hidden="false" customHeight="false" outlineLevel="0" collapsed="false">
      <c r="A813" s="2"/>
      <c r="E813" s="2"/>
      <c r="V813" s="2"/>
      <c r="W813" s="2"/>
      <c r="AC813" s="2"/>
      <c r="AD813" s="2"/>
      <c r="AE813" s="2"/>
      <c r="AG813" s="2"/>
    </row>
    <row r="814" customFormat="false" ht="15" hidden="false" customHeight="false" outlineLevel="0" collapsed="false">
      <c r="A814" s="2"/>
      <c r="E814" s="2"/>
      <c r="V814" s="2"/>
      <c r="W814" s="2"/>
      <c r="AC814" s="2"/>
      <c r="AD814" s="2"/>
      <c r="AE814" s="2"/>
      <c r="AG814" s="2"/>
    </row>
    <row r="815" customFormat="false" ht="15" hidden="false" customHeight="false" outlineLevel="0" collapsed="false">
      <c r="A815" s="2"/>
      <c r="E815" s="2"/>
      <c r="V815" s="2"/>
      <c r="W815" s="2"/>
      <c r="AC815" s="2"/>
      <c r="AD815" s="2"/>
      <c r="AE815" s="2"/>
      <c r="AG815" s="2"/>
    </row>
    <row r="816" customFormat="false" ht="15" hidden="false" customHeight="false" outlineLevel="0" collapsed="false">
      <c r="A816" s="2"/>
      <c r="E816" s="2"/>
      <c r="V816" s="2"/>
      <c r="W816" s="2"/>
      <c r="AC816" s="2"/>
      <c r="AD816" s="2"/>
      <c r="AE816" s="2"/>
      <c r="AG816" s="2"/>
    </row>
    <row r="817" customFormat="false" ht="15" hidden="false" customHeight="false" outlineLevel="0" collapsed="false">
      <c r="A817" s="2"/>
      <c r="E817" s="2"/>
      <c r="V817" s="2"/>
      <c r="W817" s="2"/>
      <c r="AC817" s="2"/>
      <c r="AD817" s="2"/>
      <c r="AE817" s="2"/>
      <c r="AG817" s="2"/>
    </row>
    <row r="818" customFormat="false" ht="15" hidden="false" customHeight="false" outlineLevel="0" collapsed="false">
      <c r="A818" s="2"/>
      <c r="E818" s="2"/>
      <c r="V818" s="2"/>
      <c r="W818" s="2"/>
      <c r="AC818" s="2"/>
      <c r="AD818" s="2"/>
      <c r="AE818" s="2"/>
      <c r="AG818" s="2"/>
    </row>
    <row r="819" customFormat="false" ht="15" hidden="false" customHeight="false" outlineLevel="0" collapsed="false">
      <c r="A819" s="2"/>
      <c r="E819" s="2"/>
      <c r="V819" s="2"/>
      <c r="W819" s="2"/>
      <c r="AC819" s="2"/>
      <c r="AD819" s="2"/>
      <c r="AE819" s="2"/>
      <c r="AG819" s="2"/>
    </row>
    <row r="820" customFormat="false" ht="15" hidden="false" customHeight="false" outlineLevel="0" collapsed="false">
      <c r="A820" s="2"/>
      <c r="E820" s="2"/>
      <c r="V820" s="2"/>
      <c r="W820" s="2"/>
      <c r="AC820" s="2"/>
      <c r="AD820" s="2"/>
      <c r="AE820" s="2"/>
      <c r="AG820" s="2"/>
    </row>
    <row r="821" customFormat="false" ht="15" hidden="false" customHeight="false" outlineLevel="0" collapsed="false">
      <c r="A821" s="2"/>
      <c r="E821" s="2"/>
      <c r="V821" s="2"/>
      <c r="W821" s="2"/>
      <c r="AC821" s="2"/>
      <c r="AD821" s="2"/>
      <c r="AE821" s="2"/>
      <c r="AG821" s="2"/>
    </row>
    <row r="822" customFormat="false" ht="15" hidden="false" customHeight="false" outlineLevel="0" collapsed="false">
      <c r="A822" s="2"/>
      <c r="E822" s="2"/>
      <c r="V822" s="2"/>
      <c r="W822" s="2"/>
      <c r="AC822" s="2"/>
      <c r="AD822" s="2"/>
      <c r="AE822" s="2"/>
      <c r="AG822" s="2"/>
    </row>
    <row r="823" customFormat="false" ht="15" hidden="false" customHeight="false" outlineLevel="0" collapsed="false">
      <c r="A823" s="2"/>
      <c r="E823" s="2"/>
      <c r="V823" s="2"/>
      <c r="W823" s="2"/>
      <c r="AC823" s="2"/>
      <c r="AD823" s="2"/>
      <c r="AE823" s="2"/>
      <c r="AG823" s="2"/>
    </row>
    <row r="824" customFormat="false" ht="15" hidden="false" customHeight="false" outlineLevel="0" collapsed="false">
      <c r="A824" s="2"/>
      <c r="E824" s="2"/>
      <c r="V824" s="2"/>
      <c r="W824" s="2"/>
      <c r="AC824" s="2"/>
      <c r="AD824" s="2"/>
      <c r="AE824" s="2"/>
      <c r="AG824" s="2"/>
    </row>
    <row r="825" customFormat="false" ht="15" hidden="false" customHeight="false" outlineLevel="0" collapsed="false">
      <c r="A825" s="2"/>
      <c r="E825" s="2"/>
      <c r="V825" s="2"/>
      <c r="W825" s="2"/>
      <c r="AC825" s="2"/>
      <c r="AD825" s="2"/>
      <c r="AE825" s="2"/>
      <c r="AG825" s="2"/>
    </row>
    <row r="826" customFormat="false" ht="15" hidden="false" customHeight="false" outlineLevel="0" collapsed="false">
      <c r="A826" s="2"/>
      <c r="E826" s="2"/>
      <c r="V826" s="2"/>
      <c r="W826" s="2"/>
      <c r="AC826" s="2"/>
      <c r="AD826" s="2"/>
      <c r="AE826" s="2"/>
      <c r="AG826" s="2"/>
    </row>
    <row r="827" customFormat="false" ht="15" hidden="false" customHeight="false" outlineLevel="0" collapsed="false">
      <c r="A827" s="2"/>
      <c r="E827" s="2"/>
      <c r="V827" s="2"/>
      <c r="W827" s="2"/>
      <c r="AC827" s="2"/>
      <c r="AD827" s="2"/>
      <c r="AE827" s="2"/>
      <c r="AG827" s="2"/>
    </row>
    <row r="828" customFormat="false" ht="15" hidden="false" customHeight="false" outlineLevel="0" collapsed="false">
      <c r="A828" s="2"/>
      <c r="E828" s="2"/>
      <c r="V828" s="2"/>
      <c r="W828" s="2"/>
      <c r="AC828" s="2"/>
      <c r="AD828" s="2"/>
      <c r="AE828" s="2"/>
      <c r="AG828" s="2"/>
    </row>
    <row r="829" customFormat="false" ht="15" hidden="false" customHeight="false" outlineLevel="0" collapsed="false">
      <c r="A829" s="2"/>
      <c r="E829" s="2"/>
      <c r="V829" s="2"/>
      <c r="W829" s="2"/>
      <c r="AC829" s="2"/>
      <c r="AD829" s="2"/>
      <c r="AE829" s="2"/>
      <c r="AG829" s="2"/>
    </row>
    <row r="830" customFormat="false" ht="15" hidden="false" customHeight="false" outlineLevel="0" collapsed="false">
      <c r="A830" s="2"/>
      <c r="E830" s="2"/>
      <c r="V830" s="2"/>
      <c r="W830" s="2"/>
      <c r="AC830" s="2"/>
      <c r="AD830" s="2"/>
      <c r="AE830" s="2"/>
      <c r="AG830" s="2"/>
    </row>
    <row r="831" customFormat="false" ht="15" hidden="false" customHeight="false" outlineLevel="0" collapsed="false">
      <c r="A831" s="2"/>
      <c r="E831" s="2"/>
      <c r="V831" s="2"/>
      <c r="W831" s="2"/>
      <c r="AC831" s="2"/>
      <c r="AD831" s="2"/>
      <c r="AE831" s="2"/>
      <c r="AG831" s="2"/>
    </row>
    <row r="832" customFormat="false" ht="15" hidden="false" customHeight="false" outlineLevel="0" collapsed="false">
      <c r="A832" s="2"/>
      <c r="E832" s="2"/>
      <c r="V832" s="2"/>
      <c r="W832" s="2"/>
      <c r="AC832" s="2"/>
      <c r="AD832" s="2"/>
      <c r="AE832" s="2"/>
      <c r="AG832" s="2"/>
    </row>
    <row r="833" customFormat="false" ht="15" hidden="false" customHeight="false" outlineLevel="0" collapsed="false">
      <c r="A833" s="2"/>
      <c r="E833" s="2"/>
      <c r="V833" s="2"/>
      <c r="W833" s="2"/>
      <c r="AC833" s="2"/>
      <c r="AD833" s="2"/>
      <c r="AE833" s="2"/>
      <c r="AG833" s="2"/>
    </row>
    <row r="834" customFormat="false" ht="15" hidden="false" customHeight="false" outlineLevel="0" collapsed="false">
      <c r="A834" s="2"/>
      <c r="E834" s="2"/>
      <c r="V834" s="2"/>
      <c r="W834" s="2"/>
      <c r="AC834" s="2"/>
      <c r="AD834" s="2"/>
      <c r="AE834" s="2"/>
      <c r="AG834" s="2"/>
    </row>
    <row r="835" customFormat="false" ht="15" hidden="false" customHeight="false" outlineLevel="0" collapsed="false">
      <c r="A835" s="2"/>
      <c r="E835" s="2"/>
      <c r="V835" s="2"/>
      <c r="W835" s="2"/>
      <c r="AC835" s="2"/>
      <c r="AD835" s="2"/>
      <c r="AE835" s="2"/>
      <c r="AG835" s="2"/>
    </row>
    <row r="836" customFormat="false" ht="15" hidden="false" customHeight="false" outlineLevel="0" collapsed="false">
      <c r="A836" s="2"/>
      <c r="E836" s="2"/>
      <c r="V836" s="2"/>
      <c r="W836" s="2"/>
      <c r="AC836" s="2"/>
      <c r="AD836" s="2"/>
      <c r="AE836" s="2"/>
      <c r="AG836" s="2"/>
    </row>
    <row r="837" customFormat="false" ht="15" hidden="false" customHeight="false" outlineLevel="0" collapsed="false">
      <c r="A837" s="2"/>
      <c r="E837" s="2"/>
      <c r="V837" s="2"/>
      <c r="W837" s="2"/>
      <c r="AC837" s="2"/>
      <c r="AD837" s="2"/>
      <c r="AE837" s="2"/>
      <c r="AG837" s="2"/>
    </row>
    <row r="838" customFormat="false" ht="15" hidden="false" customHeight="false" outlineLevel="0" collapsed="false">
      <c r="A838" s="2"/>
      <c r="E838" s="2"/>
      <c r="V838" s="2"/>
      <c r="W838" s="2"/>
      <c r="AC838" s="2"/>
      <c r="AD838" s="2"/>
      <c r="AE838" s="2"/>
      <c r="AG838" s="2"/>
    </row>
    <row r="839" customFormat="false" ht="15" hidden="false" customHeight="false" outlineLevel="0" collapsed="false">
      <c r="A839" s="2"/>
      <c r="E839" s="2"/>
      <c r="V839" s="2"/>
      <c r="W839" s="2"/>
      <c r="AC839" s="2"/>
      <c r="AD839" s="2"/>
      <c r="AE839" s="2"/>
      <c r="AG839" s="2"/>
    </row>
    <row r="840" customFormat="false" ht="15" hidden="false" customHeight="false" outlineLevel="0" collapsed="false">
      <c r="A840" s="2"/>
      <c r="E840" s="2"/>
      <c r="V840" s="2"/>
      <c r="W840" s="2"/>
      <c r="AC840" s="2"/>
      <c r="AD840" s="2"/>
      <c r="AE840" s="2"/>
      <c r="AG840" s="2"/>
    </row>
    <row r="841" customFormat="false" ht="15" hidden="false" customHeight="false" outlineLevel="0" collapsed="false">
      <c r="A841" s="2"/>
      <c r="E841" s="2"/>
      <c r="V841" s="2"/>
      <c r="W841" s="2"/>
      <c r="AC841" s="2"/>
      <c r="AD841" s="2"/>
      <c r="AE841" s="2"/>
      <c r="AG841" s="2"/>
    </row>
    <row r="842" customFormat="false" ht="15" hidden="false" customHeight="false" outlineLevel="0" collapsed="false">
      <c r="A842" s="2"/>
      <c r="E842" s="2"/>
      <c r="V842" s="2"/>
      <c r="W842" s="2"/>
      <c r="AC842" s="2"/>
      <c r="AD842" s="2"/>
      <c r="AE842" s="2"/>
      <c r="AG842" s="2"/>
    </row>
    <row r="843" customFormat="false" ht="15" hidden="false" customHeight="false" outlineLevel="0" collapsed="false">
      <c r="A843" s="2"/>
      <c r="E843" s="2"/>
      <c r="V843" s="2"/>
      <c r="W843" s="2"/>
      <c r="AC843" s="2"/>
      <c r="AD843" s="2"/>
      <c r="AE843" s="2"/>
      <c r="AG843" s="2"/>
    </row>
    <row r="844" customFormat="false" ht="15" hidden="false" customHeight="false" outlineLevel="0" collapsed="false">
      <c r="A844" s="2"/>
      <c r="E844" s="2"/>
      <c r="V844" s="2"/>
      <c r="W844" s="2"/>
      <c r="AC844" s="2"/>
      <c r="AD844" s="2"/>
      <c r="AE844" s="2"/>
      <c r="AG844" s="2"/>
    </row>
    <row r="845" customFormat="false" ht="15" hidden="false" customHeight="false" outlineLevel="0" collapsed="false">
      <c r="A845" s="2"/>
      <c r="E845" s="2"/>
      <c r="V845" s="2"/>
      <c r="W845" s="2"/>
      <c r="AC845" s="2"/>
      <c r="AD845" s="2"/>
      <c r="AE845" s="2"/>
      <c r="AG845" s="2"/>
    </row>
    <row r="846" customFormat="false" ht="15" hidden="false" customHeight="false" outlineLevel="0" collapsed="false">
      <c r="A846" s="2"/>
      <c r="E846" s="2"/>
      <c r="V846" s="2"/>
      <c r="W846" s="2"/>
      <c r="AC846" s="2"/>
      <c r="AD846" s="2"/>
      <c r="AE846" s="2"/>
      <c r="AG846" s="2"/>
    </row>
    <row r="847" customFormat="false" ht="15" hidden="false" customHeight="false" outlineLevel="0" collapsed="false">
      <c r="A847" s="2"/>
      <c r="E847" s="2"/>
      <c r="V847" s="2"/>
      <c r="W847" s="2"/>
      <c r="AC847" s="2"/>
      <c r="AD847" s="2"/>
      <c r="AE847" s="2"/>
      <c r="AG847" s="2"/>
    </row>
    <row r="848" customFormat="false" ht="15" hidden="false" customHeight="false" outlineLevel="0" collapsed="false">
      <c r="A848" s="2"/>
      <c r="E848" s="2"/>
      <c r="V848" s="2"/>
      <c r="W848" s="2"/>
      <c r="AC848" s="2"/>
      <c r="AD848" s="2"/>
      <c r="AE848" s="2"/>
      <c r="AG848" s="2"/>
    </row>
    <row r="849" customFormat="false" ht="15" hidden="false" customHeight="false" outlineLevel="0" collapsed="false">
      <c r="A849" s="2"/>
      <c r="E849" s="2"/>
      <c r="V849" s="2"/>
      <c r="W849" s="2"/>
      <c r="AC849" s="2"/>
      <c r="AD849" s="2"/>
      <c r="AE849" s="2"/>
      <c r="AG849" s="2"/>
    </row>
    <row r="850" customFormat="false" ht="15" hidden="false" customHeight="false" outlineLevel="0" collapsed="false">
      <c r="A850" s="2"/>
      <c r="E850" s="2"/>
      <c r="V850" s="2"/>
      <c r="W850" s="2"/>
      <c r="AC850" s="2"/>
      <c r="AD850" s="2"/>
      <c r="AE850" s="2"/>
      <c r="AG850" s="2"/>
    </row>
    <row r="851" customFormat="false" ht="15" hidden="false" customHeight="false" outlineLevel="0" collapsed="false">
      <c r="A851" s="2"/>
      <c r="E851" s="2"/>
      <c r="V851" s="2"/>
      <c r="W851" s="2"/>
      <c r="AC851" s="2"/>
      <c r="AD851" s="2"/>
      <c r="AE851" s="2"/>
      <c r="AG851" s="2"/>
    </row>
    <row r="852" customFormat="false" ht="15" hidden="false" customHeight="false" outlineLevel="0" collapsed="false">
      <c r="A852" s="2"/>
      <c r="E852" s="2"/>
      <c r="V852" s="2"/>
      <c r="W852" s="2"/>
      <c r="AC852" s="2"/>
      <c r="AD852" s="2"/>
      <c r="AE852" s="2"/>
      <c r="AG852" s="2"/>
    </row>
    <row r="853" customFormat="false" ht="15" hidden="false" customHeight="false" outlineLevel="0" collapsed="false">
      <c r="A853" s="2"/>
      <c r="E853" s="2"/>
      <c r="V853" s="2"/>
      <c r="W853" s="2"/>
      <c r="AC853" s="2"/>
      <c r="AD853" s="2"/>
      <c r="AE853" s="2"/>
      <c r="AG853" s="2"/>
    </row>
    <row r="854" customFormat="false" ht="15" hidden="false" customHeight="false" outlineLevel="0" collapsed="false">
      <c r="A854" s="2"/>
      <c r="E854" s="2"/>
      <c r="V854" s="2"/>
      <c r="W854" s="2"/>
      <c r="AC854" s="2"/>
      <c r="AD854" s="2"/>
      <c r="AE854" s="2"/>
      <c r="AG854" s="2"/>
    </row>
    <row r="855" customFormat="false" ht="15" hidden="false" customHeight="false" outlineLevel="0" collapsed="false">
      <c r="A855" s="2"/>
      <c r="E855" s="2"/>
      <c r="V855" s="2"/>
      <c r="W855" s="2"/>
      <c r="AC855" s="2"/>
      <c r="AD855" s="2"/>
      <c r="AE855" s="2"/>
      <c r="AG855" s="2"/>
    </row>
    <row r="856" customFormat="false" ht="15" hidden="false" customHeight="false" outlineLevel="0" collapsed="false">
      <c r="A856" s="2"/>
      <c r="E856" s="2"/>
      <c r="V856" s="2"/>
      <c r="W856" s="2"/>
      <c r="AC856" s="2"/>
      <c r="AD856" s="2"/>
      <c r="AE856" s="2"/>
      <c r="AG856" s="2"/>
    </row>
    <row r="857" customFormat="false" ht="15" hidden="false" customHeight="false" outlineLevel="0" collapsed="false">
      <c r="A857" s="2"/>
      <c r="E857" s="2"/>
      <c r="V857" s="2"/>
      <c r="W857" s="2"/>
      <c r="AC857" s="2"/>
      <c r="AD857" s="2"/>
      <c r="AE857" s="2"/>
      <c r="AG857" s="2"/>
    </row>
    <row r="858" customFormat="false" ht="15" hidden="false" customHeight="false" outlineLevel="0" collapsed="false">
      <c r="A858" s="2"/>
      <c r="E858" s="2"/>
      <c r="V858" s="2"/>
      <c r="W858" s="2"/>
      <c r="AC858" s="2"/>
      <c r="AD858" s="2"/>
      <c r="AE858" s="2"/>
      <c r="AG858" s="2"/>
    </row>
    <row r="859" customFormat="false" ht="15" hidden="false" customHeight="false" outlineLevel="0" collapsed="false">
      <c r="A859" s="2"/>
      <c r="E859" s="2"/>
      <c r="V859" s="2"/>
      <c r="W859" s="2"/>
      <c r="AC859" s="2"/>
      <c r="AD859" s="2"/>
      <c r="AE859" s="2"/>
      <c r="AG859" s="2"/>
    </row>
    <row r="860" customFormat="false" ht="15" hidden="false" customHeight="false" outlineLevel="0" collapsed="false">
      <c r="A860" s="2"/>
      <c r="E860" s="2"/>
      <c r="V860" s="2"/>
      <c r="W860" s="2"/>
      <c r="AC860" s="2"/>
      <c r="AD860" s="2"/>
      <c r="AE860" s="2"/>
      <c r="AG860" s="2"/>
    </row>
    <row r="861" customFormat="false" ht="15" hidden="false" customHeight="false" outlineLevel="0" collapsed="false">
      <c r="A861" s="2"/>
      <c r="E861" s="2"/>
      <c r="V861" s="2"/>
      <c r="W861" s="2"/>
      <c r="AC861" s="2"/>
      <c r="AD861" s="2"/>
      <c r="AE861" s="2"/>
      <c r="AG861" s="2"/>
    </row>
    <row r="862" customFormat="false" ht="15" hidden="false" customHeight="false" outlineLevel="0" collapsed="false">
      <c r="A862" s="2"/>
      <c r="E862" s="2"/>
      <c r="V862" s="2"/>
      <c r="W862" s="2"/>
      <c r="AC862" s="2"/>
      <c r="AD862" s="2"/>
      <c r="AE862" s="2"/>
      <c r="AG862" s="2"/>
    </row>
    <row r="863" customFormat="false" ht="15" hidden="false" customHeight="false" outlineLevel="0" collapsed="false">
      <c r="A863" s="2"/>
      <c r="E863" s="2"/>
      <c r="V863" s="2"/>
      <c r="W863" s="2"/>
      <c r="AC863" s="2"/>
      <c r="AD863" s="2"/>
      <c r="AE863" s="2"/>
      <c r="AG863" s="2"/>
    </row>
    <row r="864" customFormat="false" ht="15" hidden="false" customHeight="false" outlineLevel="0" collapsed="false">
      <c r="A864" s="2"/>
      <c r="E864" s="2"/>
      <c r="V864" s="2"/>
      <c r="W864" s="2"/>
      <c r="AC864" s="2"/>
      <c r="AD864" s="2"/>
      <c r="AE864" s="2"/>
      <c r="AG864" s="2"/>
    </row>
    <row r="865" customFormat="false" ht="15" hidden="false" customHeight="false" outlineLevel="0" collapsed="false">
      <c r="A865" s="2"/>
      <c r="E865" s="2"/>
      <c r="V865" s="2"/>
      <c r="W865" s="2"/>
      <c r="AC865" s="2"/>
      <c r="AD865" s="2"/>
      <c r="AE865" s="2"/>
      <c r="AG865" s="2"/>
    </row>
    <row r="866" customFormat="false" ht="15" hidden="false" customHeight="false" outlineLevel="0" collapsed="false">
      <c r="A866" s="2"/>
      <c r="E866" s="2"/>
      <c r="V866" s="2"/>
      <c r="W866" s="2"/>
      <c r="AC866" s="2"/>
      <c r="AD866" s="2"/>
      <c r="AE866" s="2"/>
      <c r="AG866" s="2"/>
    </row>
    <row r="867" customFormat="false" ht="15" hidden="false" customHeight="false" outlineLevel="0" collapsed="false">
      <c r="A867" s="2"/>
      <c r="E867" s="2"/>
      <c r="V867" s="2"/>
      <c r="W867" s="2"/>
      <c r="AC867" s="2"/>
      <c r="AD867" s="2"/>
      <c r="AE867" s="2"/>
      <c r="AG867" s="2"/>
    </row>
    <row r="868" customFormat="false" ht="15" hidden="false" customHeight="false" outlineLevel="0" collapsed="false">
      <c r="A868" s="2"/>
      <c r="E868" s="2"/>
      <c r="V868" s="2"/>
      <c r="W868" s="2"/>
      <c r="AC868" s="2"/>
      <c r="AD868" s="2"/>
      <c r="AE868" s="2"/>
      <c r="AG868" s="2"/>
    </row>
    <row r="869" customFormat="false" ht="15" hidden="false" customHeight="false" outlineLevel="0" collapsed="false">
      <c r="A869" s="2"/>
      <c r="E869" s="2"/>
      <c r="V869" s="2"/>
      <c r="W869" s="2"/>
      <c r="AC869" s="2"/>
      <c r="AD869" s="2"/>
      <c r="AE869" s="2"/>
      <c r="AG869" s="2"/>
    </row>
    <row r="870" customFormat="false" ht="15" hidden="false" customHeight="false" outlineLevel="0" collapsed="false">
      <c r="A870" s="2"/>
      <c r="E870" s="2"/>
      <c r="V870" s="2"/>
      <c r="W870" s="2"/>
      <c r="AC870" s="2"/>
      <c r="AD870" s="2"/>
      <c r="AE870" s="2"/>
      <c r="AG870" s="2"/>
    </row>
    <row r="871" customFormat="false" ht="15" hidden="false" customHeight="false" outlineLevel="0" collapsed="false">
      <c r="A871" s="2"/>
      <c r="E871" s="2"/>
      <c r="V871" s="2"/>
      <c r="W871" s="2"/>
      <c r="AC871" s="2"/>
      <c r="AD871" s="2"/>
      <c r="AE871" s="2"/>
      <c r="AG871" s="2"/>
    </row>
    <row r="872" customFormat="false" ht="15" hidden="false" customHeight="false" outlineLevel="0" collapsed="false">
      <c r="A872" s="2"/>
      <c r="E872" s="2"/>
      <c r="V872" s="2"/>
      <c r="W872" s="2"/>
      <c r="AC872" s="2"/>
      <c r="AD872" s="2"/>
      <c r="AE872" s="2"/>
      <c r="AG872" s="2"/>
    </row>
    <row r="873" customFormat="false" ht="15" hidden="false" customHeight="false" outlineLevel="0" collapsed="false">
      <c r="A873" s="2"/>
      <c r="E873" s="2"/>
      <c r="V873" s="2"/>
      <c r="W873" s="2"/>
      <c r="AC873" s="2"/>
      <c r="AD873" s="2"/>
      <c r="AE873" s="2"/>
      <c r="AG873" s="2"/>
    </row>
    <row r="874" customFormat="false" ht="15" hidden="false" customHeight="false" outlineLevel="0" collapsed="false">
      <c r="A874" s="2"/>
      <c r="E874" s="2"/>
      <c r="V874" s="2"/>
      <c r="W874" s="2"/>
      <c r="AC874" s="2"/>
      <c r="AD874" s="2"/>
      <c r="AE874" s="2"/>
      <c r="AG874" s="2"/>
    </row>
    <row r="875" customFormat="false" ht="15" hidden="false" customHeight="false" outlineLevel="0" collapsed="false">
      <c r="A875" s="2"/>
      <c r="E875" s="2"/>
      <c r="V875" s="2"/>
      <c r="W875" s="2"/>
      <c r="AC875" s="2"/>
      <c r="AD875" s="2"/>
      <c r="AE875" s="2"/>
      <c r="AG875" s="2"/>
    </row>
    <row r="876" customFormat="false" ht="15" hidden="false" customHeight="false" outlineLevel="0" collapsed="false">
      <c r="A876" s="2"/>
      <c r="E876" s="2"/>
      <c r="V876" s="2"/>
      <c r="W876" s="2"/>
      <c r="AC876" s="2"/>
      <c r="AD876" s="2"/>
      <c r="AE876" s="2"/>
      <c r="AG876" s="2"/>
    </row>
    <row r="877" customFormat="false" ht="15" hidden="false" customHeight="false" outlineLevel="0" collapsed="false">
      <c r="A877" s="2"/>
      <c r="E877" s="2"/>
      <c r="V877" s="2"/>
      <c r="W877" s="2"/>
      <c r="AC877" s="2"/>
      <c r="AD877" s="2"/>
      <c r="AE877" s="2"/>
      <c r="AG877" s="2"/>
    </row>
    <row r="878" customFormat="false" ht="15" hidden="false" customHeight="false" outlineLevel="0" collapsed="false">
      <c r="A878" s="2"/>
      <c r="E878" s="2"/>
      <c r="V878" s="2"/>
      <c r="W878" s="2"/>
      <c r="AC878" s="2"/>
      <c r="AD878" s="2"/>
      <c r="AE878" s="2"/>
      <c r="AG878" s="2"/>
    </row>
    <row r="879" customFormat="false" ht="15" hidden="false" customHeight="false" outlineLevel="0" collapsed="false">
      <c r="A879" s="2"/>
      <c r="E879" s="2"/>
      <c r="V879" s="2"/>
      <c r="W879" s="2"/>
      <c r="AC879" s="2"/>
      <c r="AD879" s="2"/>
      <c r="AE879" s="2"/>
      <c r="AG879" s="2"/>
    </row>
    <row r="880" customFormat="false" ht="15" hidden="false" customHeight="false" outlineLevel="0" collapsed="false">
      <c r="A880" s="2"/>
      <c r="E880" s="2"/>
      <c r="V880" s="2"/>
      <c r="W880" s="2"/>
      <c r="AC880" s="2"/>
      <c r="AD880" s="2"/>
      <c r="AE880" s="2"/>
      <c r="AG880" s="2"/>
    </row>
    <row r="881" customFormat="false" ht="15" hidden="false" customHeight="false" outlineLevel="0" collapsed="false">
      <c r="A881" s="2"/>
      <c r="E881" s="2"/>
      <c r="V881" s="2"/>
      <c r="W881" s="2"/>
      <c r="AC881" s="2"/>
      <c r="AD881" s="2"/>
      <c r="AE881" s="2"/>
      <c r="AG881" s="2"/>
    </row>
    <row r="882" customFormat="false" ht="15" hidden="false" customHeight="false" outlineLevel="0" collapsed="false">
      <c r="A882" s="2"/>
      <c r="E882" s="2"/>
      <c r="V882" s="2"/>
      <c r="W882" s="2"/>
      <c r="AC882" s="2"/>
      <c r="AD882" s="2"/>
      <c r="AE882" s="2"/>
      <c r="AG882" s="2"/>
    </row>
    <row r="883" customFormat="false" ht="15" hidden="false" customHeight="false" outlineLevel="0" collapsed="false">
      <c r="A883" s="2"/>
      <c r="E883" s="2"/>
      <c r="V883" s="2"/>
      <c r="W883" s="2"/>
      <c r="AC883" s="2"/>
      <c r="AD883" s="2"/>
      <c r="AE883" s="2"/>
      <c r="AG883" s="2"/>
    </row>
    <row r="884" customFormat="false" ht="15" hidden="false" customHeight="false" outlineLevel="0" collapsed="false">
      <c r="A884" s="2"/>
      <c r="E884" s="2"/>
      <c r="V884" s="2"/>
      <c r="W884" s="2"/>
      <c r="AC884" s="2"/>
      <c r="AD884" s="2"/>
      <c r="AE884" s="2"/>
      <c r="AG884" s="2"/>
    </row>
    <row r="885" customFormat="false" ht="15" hidden="false" customHeight="false" outlineLevel="0" collapsed="false">
      <c r="A885" s="2"/>
      <c r="E885" s="2"/>
      <c r="V885" s="2"/>
      <c r="W885" s="2"/>
      <c r="AC885" s="2"/>
      <c r="AD885" s="2"/>
      <c r="AE885" s="2"/>
      <c r="AG885" s="2"/>
    </row>
    <row r="886" customFormat="false" ht="15" hidden="false" customHeight="false" outlineLevel="0" collapsed="false">
      <c r="A886" s="2"/>
      <c r="E886" s="2"/>
      <c r="V886" s="2"/>
      <c r="W886" s="2"/>
      <c r="AC886" s="2"/>
      <c r="AD886" s="2"/>
      <c r="AE886" s="2"/>
      <c r="AG886" s="2"/>
    </row>
    <row r="887" customFormat="false" ht="15" hidden="false" customHeight="false" outlineLevel="0" collapsed="false">
      <c r="A887" s="2"/>
      <c r="E887" s="2"/>
      <c r="V887" s="2"/>
      <c r="W887" s="2"/>
      <c r="AC887" s="2"/>
      <c r="AD887" s="2"/>
      <c r="AE887" s="2"/>
      <c r="AG887" s="2"/>
    </row>
    <row r="888" customFormat="false" ht="15" hidden="false" customHeight="false" outlineLevel="0" collapsed="false">
      <c r="A888" s="2"/>
      <c r="E888" s="2"/>
      <c r="V888" s="2"/>
      <c r="W888" s="2"/>
      <c r="AC888" s="2"/>
      <c r="AD888" s="2"/>
      <c r="AE888" s="2"/>
      <c r="AG888" s="2"/>
    </row>
    <row r="889" customFormat="false" ht="15" hidden="false" customHeight="false" outlineLevel="0" collapsed="false">
      <c r="A889" s="2"/>
      <c r="E889" s="2"/>
      <c r="V889" s="2"/>
      <c r="W889" s="2"/>
      <c r="AC889" s="2"/>
      <c r="AD889" s="2"/>
      <c r="AE889" s="2"/>
      <c r="AG889" s="2"/>
    </row>
    <row r="890" customFormat="false" ht="15" hidden="false" customHeight="false" outlineLevel="0" collapsed="false">
      <c r="A890" s="2"/>
      <c r="E890" s="2"/>
      <c r="V890" s="2"/>
      <c r="W890" s="2"/>
      <c r="AC890" s="2"/>
      <c r="AD890" s="2"/>
      <c r="AE890" s="2"/>
      <c r="AG890" s="2"/>
    </row>
    <row r="891" customFormat="false" ht="15" hidden="false" customHeight="false" outlineLevel="0" collapsed="false">
      <c r="A891" s="2"/>
      <c r="E891" s="2"/>
      <c r="V891" s="2"/>
      <c r="W891" s="2"/>
      <c r="AC891" s="2"/>
      <c r="AD891" s="2"/>
      <c r="AE891" s="2"/>
      <c r="AG891" s="2"/>
    </row>
    <row r="892" customFormat="false" ht="15" hidden="false" customHeight="false" outlineLevel="0" collapsed="false">
      <c r="A892" s="2"/>
      <c r="E892" s="2"/>
      <c r="V892" s="2"/>
      <c r="W892" s="2"/>
      <c r="AC892" s="2"/>
      <c r="AD892" s="2"/>
      <c r="AE892" s="2"/>
      <c r="AG892" s="2"/>
    </row>
    <row r="893" customFormat="false" ht="15" hidden="false" customHeight="false" outlineLevel="0" collapsed="false">
      <c r="A893" s="2"/>
      <c r="E893" s="2"/>
      <c r="V893" s="2"/>
      <c r="W893" s="2"/>
      <c r="AC893" s="2"/>
      <c r="AD893" s="2"/>
      <c r="AE893" s="2"/>
      <c r="AG893" s="2"/>
    </row>
    <row r="894" customFormat="false" ht="15" hidden="false" customHeight="false" outlineLevel="0" collapsed="false">
      <c r="A894" s="2"/>
      <c r="E894" s="2"/>
      <c r="V894" s="2"/>
      <c r="W894" s="2"/>
      <c r="AC894" s="2"/>
      <c r="AD894" s="2"/>
      <c r="AE894" s="2"/>
      <c r="AG894" s="2"/>
    </row>
    <row r="895" customFormat="false" ht="15" hidden="false" customHeight="false" outlineLevel="0" collapsed="false">
      <c r="A895" s="2"/>
      <c r="E895" s="2"/>
      <c r="V895" s="2"/>
      <c r="W895" s="2"/>
      <c r="AC895" s="2"/>
      <c r="AD895" s="2"/>
      <c r="AE895" s="2"/>
      <c r="AG895" s="2"/>
    </row>
    <row r="896" customFormat="false" ht="15" hidden="false" customHeight="false" outlineLevel="0" collapsed="false">
      <c r="A896" s="2"/>
      <c r="E896" s="2"/>
      <c r="V896" s="2"/>
      <c r="W896" s="2"/>
      <c r="AC896" s="2"/>
      <c r="AD896" s="2"/>
      <c r="AE896" s="2"/>
      <c r="AG896" s="2"/>
    </row>
    <row r="897" customFormat="false" ht="15" hidden="false" customHeight="false" outlineLevel="0" collapsed="false">
      <c r="A897" s="2"/>
      <c r="E897" s="2"/>
      <c r="V897" s="2"/>
      <c r="W897" s="2"/>
      <c r="AC897" s="2"/>
      <c r="AD897" s="2"/>
      <c r="AE897" s="2"/>
      <c r="AG897" s="2"/>
    </row>
    <row r="898" customFormat="false" ht="15" hidden="false" customHeight="false" outlineLevel="0" collapsed="false">
      <c r="A898" s="2"/>
      <c r="E898" s="2"/>
      <c r="V898" s="2"/>
      <c r="W898" s="2"/>
      <c r="AC898" s="2"/>
      <c r="AD898" s="2"/>
      <c r="AE898" s="2"/>
      <c r="AG898" s="2"/>
    </row>
    <row r="899" customFormat="false" ht="15" hidden="false" customHeight="false" outlineLevel="0" collapsed="false">
      <c r="A899" s="2"/>
      <c r="E899" s="2"/>
      <c r="V899" s="2"/>
      <c r="W899" s="2"/>
      <c r="AC899" s="2"/>
      <c r="AD899" s="2"/>
      <c r="AE899" s="2"/>
      <c r="AG899" s="2"/>
    </row>
    <row r="900" customFormat="false" ht="15" hidden="false" customHeight="false" outlineLevel="0" collapsed="false">
      <c r="A900" s="2"/>
      <c r="E900" s="2"/>
      <c r="V900" s="2"/>
      <c r="W900" s="2"/>
      <c r="AC900" s="2"/>
      <c r="AD900" s="2"/>
      <c r="AE900" s="2"/>
      <c r="AG900" s="2"/>
    </row>
    <row r="901" customFormat="false" ht="15" hidden="false" customHeight="false" outlineLevel="0" collapsed="false">
      <c r="A901" s="2"/>
      <c r="E901" s="2"/>
      <c r="V901" s="2"/>
      <c r="W901" s="2"/>
      <c r="AC901" s="2"/>
      <c r="AD901" s="2"/>
      <c r="AE901" s="2"/>
      <c r="AG901" s="2"/>
    </row>
    <row r="902" customFormat="false" ht="15" hidden="false" customHeight="false" outlineLevel="0" collapsed="false">
      <c r="A902" s="2"/>
      <c r="E902" s="2"/>
      <c r="V902" s="2"/>
      <c r="W902" s="2"/>
      <c r="AC902" s="2"/>
      <c r="AD902" s="2"/>
      <c r="AE902" s="2"/>
      <c r="AG902" s="2"/>
    </row>
    <row r="903" customFormat="false" ht="15" hidden="false" customHeight="false" outlineLevel="0" collapsed="false">
      <c r="A903" s="2"/>
      <c r="E903" s="2"/>
      <c r="V903" s="2"/>
      <c r="W903" s="2"/>
      <c r="AC903" s="2"/>
      <c r="AD903" s="2"/>
      <c r="AE903" s="2"/>
      <c r="AG903" s="2"/>
    </row>
    <row r="904" customFormat="false" ht="15" hidden="false" customHeight="false" outlineLevel="0" collapsed="false">
      <c r="A904" s="2"/>
      <c r="E904" s="2"/>
      <c r="V904" s="2"/>
      <c r="W904" s="2"/>
      <c r="AC904" s="2"/>
      <c r="AD904" s="2"/>
      <c r="AE904" s="2"/>
      <c r="AG904" s="2"/>
    </row>
    <row r="905" customFormat="false" ht="15" hidden="false" customHeight="false" outlineLevel="0" collapsed="false">
      <c r="A905" s="2"/>
      <c r="E905" s="2"/>
      <c r="V905" s="2"/>
      <c r="W905" s="2"/>
      <c r="AC905" s="2"/>
      <c r="AD905" s="2"/>
      <c r="AE905" s="2"/>
      <c r="AG905" s="2"/>
    </row>
    <row r="906" customFormat="false" ht="15" hidden="false" customHeight="false" outlineLevel="0" collapsed="false">
      <c r="A906" s="2"/>
      <c r="E906" s="2"/>
      <c r="V906" s="2"/>
      <c r="W906" s="2"/>
      <c r="AC906" s="2"/>
      <c r="AD906" s="2"/>
      <c r="AE906" s="2"/>
      <c r="AG906" s="2"/>
    </row>
    <row r="907" customFormat="false" ht="15" hidden="false" customHeight="false" outlineLevel="0" collapsed="false">
      <c r="A907" s="2"/>
      <c r="E907" s="2"/>
      <c r="V907" s="2"/>
      <c r="W907" s="2"/>
      <c r="AC907" s="2"/>
      <c r="AD907" s="2"/>
      <c r="AE907" s="2"/>
      <c r="AG907" s="2"/>
    </row>
    <row r="908" customFormat="false" ht="15" hidden="false" customHeight="false" outlineLevel="0" collapsed="false">
      <c r="A908" s="2"/>
      <c r="E908" s="2"/>
      <c r="V908" s="2"/>
      <c r="W908" s="2"/>
      <c r="AC908" s="2"/>
      <c r="AD908" s="2"/>
      <c r="AE908" s="2"/>
      <c r="AG908" s="2"/>
    </row>
    <row r="909" customFormat="false" ht="15" hidden="false" customHeight="false" outlineLevel="0" collapsed="false">
      <c r="A909" s="2"/>
      <c r="E909" s="2"/>
      <c r="V909" s="2"/>
      <c r="W909" s="2"/>
      <c r="AC909" s="2"/>
      <c r="AD909" s="2"/>
      <c r="AE909" s="2"/>
      <c r="AG909" s="2"/>
    </row>
    <row r="910" customFormat="false" ht="15" hidden="false" customHeight="false" outlineLevel="0" collapsed="false">
      <c r="A910" s="2"/>
      <c r="E910" s="2"/>
      <c r="V910" s="2"/>
      <c r="W910" s="2"/>
      <c r="AC910" s="2"/>
      <c r="AD910" s="2"/>
      <c r="AE910" s="2"/>
      <c r="AG910" s="2"/>
    </row>
    <row r="911" customFormat="false" ht="15" hidden="false" customHeight="false" outlineLevel="0" collapsed="false">
      <c r="A911" s="2"/>
      <c r="E911" s="2"/>
      <c r="V911" s="2"/>
      <c r="W911" s="2"/>
      <c r="AC911" s="2"/>
      <c r="AD911" s="2"/>
      <c r="AE911" s="2"/>
      <c r="AG911" s="2"/>
    </row>
    <row r="912" customFormat="false" ht="15" hidden="false" customHeight="false" outlineLevel="0" collapsed="false">
      <c r="A912" s="2"/>
      <c r="E912" s="2"/>
      <c r="V912" s="2"/>
      <c r="W912" s="2"/>
      <c r="AC912" s="2"/>
      <c r="AD912" s="2"/>
      <c r="AE912" s="2"/>
      <c r="AG912" s="2"/>
    </row>
    <row r="913" customFormat="false" ht="15" hidden="false" customHeight="false" outlineLevel="0" collapsed="false">
      <c r="A913" s="2"/>
      <c r="E913" s="2"/>
      <c r="V913" s="2"/>
      <c r="W913" s="2"/>
      <c r="AC913" s="2"/>
      <c r="AD913" s="2"/>
      <c r="AE913" s="2"/>
      <c r="AG913" s="2"/>
    </row>
    <row r="914" customFormat="false" ht="15" hidden="false" customHeight="false" outlineLevel="0" collapsed="false">
      <c r="A914" s="2"/>
      <c r="E914" s="2"/>
      <c r="V914" s="2"/>
      <c r="W914" s="2"/>
      <c r="AC914" s="2"/>
      <c r="AD914" s="2"/>
      <c r="AE914" s="2"/>
      <c r="AG914" s="2"/>
    </row>
    <row r="915" customFormat="false" ht="15" hidden="false" customHeight="false" outlineLevel="0" collapsed="false">
      <c r="A915" s="2"/>
      <c r="E915" s="2"/>
      <c r="V915" s="2"/>
      <c r="W915" s="2"/>
      <c r="AC915" s="2"/>
      <c r="AD915" s="2"/>
      <c r="AE915" s="2"/>
      <c r="AG915" s="2"/>
    </row>
    <row r="916" customFormat="false" ht="15" hidden="false" customHeight="false" outlineLevel="0" collapsed="false">
      <c r="A916" s="2"/>
      <c r="E916" s="2"/>
      <c r="V916" s="2"/>
      <c r="W916" s="2"/>
      <c r="AC916" s="2"/>
      <c r="AD916" s="2"/>
      <c r="AE916" s="2"/>
      <c r="AG916" s="2"/>
    </row>
    <row r="917" customFormat="false" ht="15" hidden="false" customHeight="false" outlineLevel="0" collapsed="false">
      <c r="A917" s="2"/>
      <c r="E917" s="2"/>
      <c r="V917" s="2"/>
      <c r="W917" s="2"/>
      <c r="AC917" s="2"/>
      <c r="AD917" s="2"/>
      <c r="AE917" s="2"/>
      <c r="AG917" s="2"/>
    </row>
    <row r="918" customFormat="false" ht="15" hidden="false" customHeight="false" outlineLevel="0" collapsed="false">
      <c r="A918" s="2"/>
      <c r="E918" s="2"/>
      <c r="V918" s="2"/>
      <c r="W918" s="2"/>
      <c r="AC918" s="2"/>
      <c r="AD918" s="2"/>
      <c r="AE918" s="2"/>
      <c r="AG918" s="2"/>
    </row>
    <row r="919" customFormat="false" ht="15" hidden="false" customHeight="false" outlineLevel="0" collapsed="false">
      <c r="A919" s="2"/>
      <c r="E919" s="2"/>
      <c r="V919" s="2"/>
      <c r="W919" s="2"/>
      <c r="AC919" s="2"/>
      <c r="AD919" s="2"/>
      <c r="AE919" s="2"/>
      <c r="AG919" s="2"/>
    </row>
    <row r="920" customFormat="false" ht="15" hidden="false" customHeight="false" outlineLevel="0" collapsed="false">
      <c r="A920" s="2"/>
      <c r="E920" s="2"/>
      <c r="V920" s="2"/>
      <c r="W920" s="2"/>
      <c r="AC920" s="2"/>
      <c r="AD920" s="2"/>
      <c r="AE920" s="2"/>
      <c r="AG920" s="2"/>
    </row>
    <row r="921" customFormat="false" ht="15" hidden="false" customHeight="false" outlineLevel="0" collapsed="false">
      <c r="A921" s="2"/>
      <c r="E921" s="2"/>
      <c r="V921" s="2"/>
      <c r="W921" s="2"/>
      <c r="AC921" s="2"/>
      <c r="AD921" s="2"/>
      <c r="AE921" s="2"/>
      <c r="AG921" s="2"/>
    </row>
    <row r="922" customFormat="false" ht="15" hidden="false" customHeight="false" outlineLevel="0" collapsed="false">
      <c r="A922" s="2"/>
      <c r="E922" s="2"/>
      <c r="V922" s="2"/>
      <c r="W922" s="2"/>
      <c r="AC922" s="2"/>
      <c r="AD922" s="2"/>
      <c r="AE922" s="2"/>
      <c r="AG922" s="2"/>
    </row>
    <row r="923" customFormat="false" ht="15" hidden="false" customHeight="false" outlineLevel="0" collapsed="false">
      <c r="A923" s="2"/>
      <c r="E923" s="2"/>
      <c r="V923" s="2"/>
      <c r="W923" s="2"/>
      <c r="AC923" s="2"/>
      <c r="AD923" s="2"/>
      <c r="AE923" s="2"/>
      <c r="AG923" s="2"/>
    </row>
    <row r="924" customFormat="false" ht="15" hidden="false" customHeight="false" outlineLevel="0" collapsed="false">
      <c r="A924" s="2"/>
      <c r="E924" s="2"/>
      <c r="V924" s="2"/>
      <c r="W924" s="2"/>
      <c r="AC924" s="2"/>
      <c r="AD924" s="2"/>
      <c r="AE924" s="2"/>
      <c r="AG924" s="2"/>
    </row>
    <row r="925" customFormat="false" ht="15" hidden="false" customHeight="false" outlineLevel="0" collapsed="false">
      <c r="A925" s="2"/>
      <c r="E925" s="2"/>
      <c r="V925" s="2"/>
      <c r="W925" s="2"/>
      <c r="AC925" s="2"/>
      <c r="AD925" s="2"/>
      <c r="AE925" s="2"/>
      <c r="AG925" s="2"/>
    </row>
    <row r="926" customFormat="false" ht="15" hidden="false" customHeight="false" outlineLevel="0" collapsed="false">
      <c r="A926" s="2"/>
      <c r="E926" s="2"/>
      <c r="V926" s="2"/>
      <c r="W926" s="2"/>
      <c r="AC926" s="2"/>
      <c r="AD926" s="2"/>
      <c r="AE926" s="2"/>
      <c r="AG926" s="2"/>
    </row>
    <row r="927" customFormat="false" ht="15" hidden="false" customHeight="false" outlineLevel="0" collapsed="false">
      <c r="A927" s="2"/>
      <c r="E927" s="2"/>
      <c r="V927" s="2"/>
      <c r="W927" s="2"/>
      <c r="AC927" s="2"/>
      <c r="AD927" s="2"/>
      <c r="AE927" s="2"/>
      <c r="AG927" s="2"/>
    </row>
    <row r="928" customFormat="false" ht="15" hidden="false" customHeight="false" outlineLevel="0" collapsed="false">
      <c r="A928" s="2"/>
      <c r="E928" s="2"/>
      <c r="V928" s="2"/>
      <c r="W928" s="2"/>
      <c r="AC928" s="2"/>
      <c r="AD928" s="2"/>
      <c r="AE928" s="2"/>
      <c r="AG928" s="2"/>
    </row>
    <row r="929" customFormat="false" ht="15" hidden="false" customHeight="false" outlineLevel="0" collapsed="false">
      <c r="A929" s="2"/>
      <c r="E929" s="2"/>
      <c r="V929" s="2"/>
      <c r="W929" s="2"/>
      <c r="AC929" s="2"/>
      <c r="AD929" s="2"/>
      <c r="AE929" s="2"/>
      <c r="AG929" s="2"/>
    </row>
    <row r="930" customFormat="false" ht="15" hidden="false" customHeight="false" outlineLevel="0" collapsed="false">
      <c r="A930" s="2"/>
      <c r="E930" s="2"/>
      <c r="V930" s="2"/>
      <c r="W930" s="2"/>
      <c r="AC930" s="2"/>
      <c r="AD930" s="2"/>
      <c r="AE930" s="2"/>
      <c r="AG930" s="2"/>
    </row>
    <row r="931" customFormat="false" ht="15" hidden="false" customHeight="false" outlineLevel="0" collapsed="false">
      <c r="A931" s="2"/>
      <c r="E931" s="2"/>
      <c r="V931" s="2"/>
      <c r="W931" s="2"/>
      <c r="AC931" s="2"/>
      <c r="AD931" s="2"/>
      <c r="AE931" s="2"/>
      <c r="AG931" s="2"/>
    </row>
    <row r="932" customFormat="false" ht="15" hidden="false" customHeight="false" outlineLevel="0" collapsed="false">
      <c r="A932" s="2"/>
      <c r="E932" s="2"/>
      <c r="V932" s="2"/>
      <c r="W932" s="2"/>
      <c r="AC932" s="2"/>
      <c r="AD932" s="2"/>
      <c r="AE932" s="2"/>
      <c r="AG932" s="2"/>
    </row>
    <row r="933" customFormat="false" ht="15" hidden="false" customHeight="false" outlineLevel="0" collapsed="false">
      <c r="A933" s="2"/>
      <c r="E933" s="2"/>
      <c r="V933" s="2"/>
      <c r="W933" s="2"/>
      <c r="AC933" s="2"/>
      <c r="AD933" s="2"/>
      <c r="AE933" s="2"/>
      <c r="AG933" s="2"/>
    </row>
    <row r="934" customFormat="false" ht="15" hidden="false" customHeight="false" outlineLevel="0" collapsed="false">
      <c r="A934" s="2"/>
      <c r="E934" s="2"/>
      <c r="V934" s="2"/>
      <c r="W934" s="2"/>
      <c r="AC934" s="2"/>
      <c r="AD934" s="2"/>
      <c r="AE934" s="2"/>
      <c r="AG934" s="2"/>
    </row>
    <row r="935" customFormat="false" ht="15" hidden="false" customHeight="false" outlineLevel="0" collapsed="false">
      <c r="A935" s="2"/>
      <c r="E935" s="2"/>
      <c r="V935" s="2"/>
      <c r="W935" s="2"/>
      <c r="AC935" s="2"/>
      <c r="AD935" s="2"/>
      <c r="AE935" s="2"/>
      <c r="AG935" s="2"/>
    </row>
    <row r="936" customFormat="false" ht="15" hidden="false" customHeight="false" outlineLevel="0" collapsed="false">
      <c r="A936" s="2"/>
      <c r="E936" s="2"/>
      <c r="V936" s="2"/>
      <c r="W936" s="2"/>
      <c r="AC936" s="2"/>
      <c r="AD936" s="2"/>
      <c r="AE936" s="2"/>
      <c r="AG936" s="2"/>
    </row>
    <row r="937" customFormat="false" ht="15" hidden="false" customHeight="false" outlineLevel="0" collapsed="false">
      <c r="A937" s="2"/>
      <c r="E937" s="2"/>
      <c r="V937" s="2"/>
      <c r="W937" s="2"/>
      <c r="AC937" s="2"/>
      <c r="AD937" s="2"/>
      <c r="AE937" s="2"/>
      <c r="AG937" s="2"/>
    </row>
    <row r="938" customFormat="false" ht="15" hidden="false" customHeight="false" outlineLevel="0" collapsed="false">
      <c r="A938" s="2"/>
      <c r="E938" s="2"/>
      <c r="V938" s="2"/>
      <c r="W938" s="2"/>
      <c r="AC938" s="2"/>
      <c r="AD938" s="2"/>
      <c r="AE938" s="2"/>
      <c r="AG938" s="2"/>
    </row>
    <row r="939" customFormat="false" ht="15" hidden="false" customHeight="false" outlineLevel="0" collapsed="false">
      <c r="A939" s="2"/>
      <c r="E939" s="2"/>
      <c r="V939" s="2"/>
      <c r="W939" s="2"/>
      <c r="AC939" s="2"/>
      <c r="AD939" s="2"/>
      <c r="AE939" s="2"/>
      <c r="AG939" s="2"/>
    </row>
    <row r="940" customFormat="false" ht="15" hidden="false" customHeight="false" outlineLevel="0" collapsed="false">
      <c r="A940" s="2"/>
      <c r="E940" s="2"/>
      <c r="V940" s="2"/>
      <c r="W940" s="2"/>
      <c r="AC940" s="2"/>
      <c r="AD940" s="2"/>
      <c r="AE940" s="2"/>
      <c r="AG940" s="2"/>
    </row>
    <row r="941" customFormat="false" ht="15" hidden="false" customHeight="false" outlineLevel="0" collapsed="false">
      <c r="A941" s="2"/>
      <c r="E941" s="2"/>
      <c r="V941" s="2"/>
      <c r="W941" s="2"/>
      <c r="AC941" s="2"/>
      <c r="AD941" s="2"/>
      <c r="AE941" s="2"/>
      <c r="AG941" s="2"/>
    </row>
    <row r="942" customFormat="false" ht="15" hidden="false" customHeight="false" outlineLevel="0" collapsed="false">
      <c r="A942" s="2"/>
      <c r="E942" s="2"/>
      <c r="V942" s="2"/>
      <c r="W942" s="2"/>
      <c r="AC942" s="2"/>
      <c r="AD942" s="2"/>
      <c r="AE942" s="2"/>
      <c r="AG942" s="2"/>
    </row>
    <row r="943" customFormat="false" ht="15" hidden="false" customHeight="false" outlineLevel="0" collapsed="false">
      <c r="A943" s="2"/>
      <c r="E943" s="2"/>
      <c r="V943" s="2"/>
      <c r="W943" s="2"/>
      <c r="AC943" s="2"/>
      <c r="AD943" s="2"/>
      <c r="AE943" s="2"/>
      <c r="AG943" s="2"/>
    </row>
    <row r="944" customFormat="false" ht="15" hidden="false" customHeight="false" outlineLevel="0" collapsed="false">
      <c r="A944" s="2"/>
      <c r="E944" s="2"/>
      <c r="V944" s="2"/>
      <c r="W944" s="2"/>
      <c r="AC944" s="2"/>
      <c r="AD944" s="2"/>
      <c r="AE944" s="2"/>
      <c r="AG944" s="2"/>
    </row>
    <row r="945" customFormat="false" ht="15" hidden="false" customHeight="false" outlineLevel="0" collapsed="false">
      <c r="A945" s="2"/>
      <c r="E945" s="2"/>
      <c r="V945" s="2"/>
      <c r="W945" s="2"/>
      <c r="AC945" s="2"/>
      <c r="AD945" s="2"/>
      <c r="AE945" s="2"/>
      <c r="AG945" s="2"/>
    </row>
    <row r="946" customFormat="false" ht="15" hidden="false" customHeight="false" outlineLevel="0" collapsed="false">
      <c r="A946" s="2"/>
      <c r="E946" s="2"/>
      <c r="V946" s="2"/>
      <c r="W946" s="2"/>
      <c r="AC946" s="2"/>
      <c r="AD946" s="2"/>
      <c r="AE946" s="2"/>
      <c r="AG946" s="2"/>
    </row>
    <row r="947" customFormat="false" ht="15" hidden="false" customHeight="false" outlineLevel="0" collapsed="false">
      <c r="A947" s="2"/>
      <c r="E947" s="2"/>
      <c r="V947" s="2"/>
      <c r="W947" s="2"/>
      <c r="AC947" s="2"/>
      <c r="AD947" s="2"/>
      <c r="AE947" s="2"/>
      <c r="AG947" s="2"/>
    </row>
    <row r="948" customFormat="false" ht="15" hidden="false" customHeight="false" outlineLevel="0" collapsed="false">
      <c r="A948" s="2"/>
      <c r="E948" s="2"/>
      <c r="V948" s="2"/>
      <c r="W948" s="2"/>
      <c r="AC948" s="2"/>
      <c r="AD948" s="2"/>
      <c r="AE948" s="2"/>
      <c r="AG948" s="2"/>
    </row>
    <row r="949" customFormat="false" ht="15" hidden="false" customHeight="false" outlineLevel="0" collapsed="false">
      <c r="A949" s="2"/>
      <c r="E949" s="2"/>
      <c r="V949" s="2"/>
      <c r="W949" s="2"/>
      <c r="AC949" s="2"/>
      <c r="AD949" s="2"/>
      <c r="AE949" s="2"/>
      <c r="AG949" s="2"/>
    </row>
    <row r="950" customFormat="false" ht="15" hidden="false" customHeight="false" outlineLevel="0" collapsed="false">
      <c r="A950" s="2"/>
      <c r="E950" s="2"/>
      <c r="V950" s="2"/>
      <c r="W950" s="2"/>
      <c r="AC950" s="2"/>
      <c r="AD950" s="2"/>
      <c r="AE950" s="2"/>
      <c r="AG950" s="2"/>
    </row>
    <row r="951" customFormat="false" ht="15" hidden="false" customHeight="false" outlineLevel="0" collapsed="false">
      <c r="A951" s="2"/>
      <c r="E951" s="2"/>
      <c r="V951" s="2"/>
      <c r="W951" s="2"/>
      <c r="AC951" s="2"/>
      <c r="AD951" s="2"/>
      <c r="AE951" s="2"/>
      <c r="AG951" s="2"/>
    </row>
    <row r="952" customFormat="false" ht="15" hidden="false" customHeight="false" outlineLevel="0" collapsed="false">
      <c r="A952" s="2"/>
      <c r="E952" s="2"/>
      <c r="V952" s="2"/>
      <c r="W952" s="2"/>
      <c r="AC952" s="2"/>
      <c r="AD952" s="2"/>
      <c r="AE952" s="2"/>
      <c r="AG952" s="2"/>
    </row>
    <row r="953" customFormat="false" ht="15" hidden="false" customHeight="false" outlineLevel="0" collapsed="false">
      <c r="A953" s="2"/>
      <c r="E953" s="2"/>
      <c r="V953" s="2"/>
      <c r="W953" s="2"/>
      <c r="AC953" s="2"/>
      <c r="AD953" s="2"/>
      <c r="AE953" s="2"/>
      <c r="AG953" s="2"/>
    </row>
    <row r="954" customFormat="false" ht="15" hidden="false" customHeight="false" outlineLevel="0" collapsed="false">
      <c r="A954" s="2"/>
      <c r="E954" s="2"/>
      <c r="V954" s="2"/>
      <c r="W954" s="2"/>
      <c r="AC954" s="2"/>
      <c r="AD954" s="2"/>
      <c r="AE954" s="2"/>
      <c r="AG954" s="2"/>
    </row>
    <row r="955" customFormat="false" ht="15" hidden="false" customHeight="false" outlineLevel="0" collapsed="false">
      <c r="A955" s="2"/>
      <c r="E955" s="2"/>
      <c r="V955" s="2"/>
      <c r="W955" s="2"/>
      <c r="AC955" s="2"/>
      <c r="AD955" s="2"/>
      <c r="AE955" s="2"/>
      <c r="AG955" s="2"/>
    </row>
    <row r="956" customFormat="false" ht="15" hidden="false" customHeight="false" outlineLevel="0" collapsed="false">
      <c r="A956" s="2"/>
      <c r="E956" s="2"/>
      <c r="V956" s="2"/>
      <c r="W956" s="2"/>
      <c r="AC956" s="2"/>
      <c r="AD956" s="2"/>
      <c r="AE956" s="2"/>
      <c r="AG956" s="2"/>
    </row>
    <row r="957" customFormat="false" ht="15" hidden="false" customHeight="false" outlineLevel="0" collapsed="false">
      <c r="A957" s="2"/>
      <c r="E957" s="2"/>
      <c r="V957" s="2"/>
      <c r="W957" s="2"/>
      <c r="AC957" s="2"/>
      <c r="AD957" s="2"/>
      <c r="AE957" s="2"/>
      <c r="AG957" s="2"/>
    </row>
    <row r="958" customFormat="false" ht="15" hidden="false" customHeight="false" outlineLevel="0" collapsed="false">
      <c r="A958" s="2"/>
      <c r="E958" s="2"/>
      <c r="V958" s="2"/>
      <c r="W958" s="2"/>
      <c r="AC958" s="2"/>
      <c r="AD958" s="2"/>
      <c r="AE958" s="2"/>
      <c r="AG958" s="2"/>
    </row>
    <row r="959" customFormat="false" ht="15" hidden="false" customHeight="false" outlineLevel="0" collapsed="false">
      <c r="A959" s="2"/>
      <c r="E959" s="2"/>
      <c r="V959" s="2"/>
      <c r="W959" s="2"/>
      <c r="AC959" s="2"/>
      <c r="AD959" s="2"/>
      <c r="AE959" s="2"/>
      <c r="AG959" s="2"/>
    </row>
    <row r="960" customFormat="false" ht="15" hidden="false" customHeight="false" outlineLevel="0" collapsed="false">
      <c r="A960" s="2"/>
      <c r="E960" s="2"/>
      <c r="V960" s="2"/>
      <c r="W960" s="2"/>
      <c r="AC960" s="2"/>
      <c r="AD960" s="2"/>
      <c r="AE960" s="2"/>
      <c r="AG960" s="2"/>
    </row>
    <row r="961" customFormat="false" ht="15" hidden="false" customHeight="false" outlineLevel="0" collapsed="false">
      <c r="A961" s="2"/>
      <c r="E961" s="2"/>
      <c r="V961" s="2"/>
      <c r="W961" s="2"/>
      <c r="AC961" s="2"/>
      <c r="AD961" s="2"/>
      <c r="AE961" s="2"/>
      <c r="AG961" s="2"/>
    </row>
    <row r="962" customFormat="false" ht="15" hidden="false" customHeight="false" outlineLevel="0" collapsed="false">
      <c r="A962" s="2"/>
      <c r="E962" s="2"/>
      <c r="V962" s="2"/>
      <c r="W962" s="2"/>
      <c r="AC962" s="2"/>
      <c r="AD962" s="2"/>
      <c r="AE962" s="2"/>
      <c r="AG962" s="2"/>
    </row>
    <row r="963" customFormat="false" ht="15" hidden="false" customHeight="false" outlineLevel="0" collapsed="false">
      <c r="A963" s="2"/>
      <c r="E963" s="2"/>
      <c r="V963" s="2"/>
      <c r="W963" s="2"/>
      <c r="AC963" s="2"/>
      <c r="AD963" s="2"/>
      <c r="AE963" s="2"/>
      <c r="AG963" s="2"/>
    </row>
    <row r="964" customFormat="false" ht="15" hidden="false" customHeight="false" outlineLevel="0" collapsed="false">
      <c r="A964" s="2"/>
      <c r="E964" s="2"/>
      <c r="V964" s="2"/>
      <c r="W964" s="2"/>
      <c r="AC964" s="2"/>
      <c r="AD964" s="2"/>
      <c r="AE964" s="2"/>
      <c r="AG964" s="2"/>
    </row>
    <row r="965" customFormat="false" ht="15" hidden="false" customHeight="false" outlineLevel="0" collapsed="false">
      <c r="A965" s="2"/>
      <c r="E965" s="2"/>
      <c r="V965" s="2"/>
      <c r="W965" s="2"/>
      <c r="AC965" s="2"/>
      <c r="AD965" s="2"/>
      <c r="AE965" s="2"/>
      <c r="AG965" s="2"/>
    </row>
    <row r="966" customFormat="false" ht="15" hidden="false" customHeight="false" outlineLevel="0" collapsed="false">
      <c r="A966" s="2"/>
      <c r="E966" s="2"/>
      <c r="V966" s="2"/>
      <c r="W966" s="2"/>
      <c r="AC966" s="2"/>
      <c r="AD966" s="2"/>
      <c r="AE966" s="2"/>
      <c r="AG966" s="2"/>
    </row>
    <row r="967" customFormat="false" ht="15" hidden="false" customHeight="false" outlineLevel="0" collapsed="false">
      <c r="A967" s="2"/>
      <c r="E967" s="2"/>
      <c r="V967" s="2"/>
      <c r="W967" s="2"/>
      <c r="AC967" s="2"/>
      <c r="AD967" s="2"/>
      <c r="AE967" s="2"/>
      <c r="AG967" s="2"/>
    </row>
    <row r="968" customFormat="false" ht="15" hidden="false" customHeight="false" outlineLevel="0" collapsed="false">
      <c r="A968" s="2"/>
      <c r="E968" s="2"/>
      <c r="V968" s="2"/>
      <c r="W968" s="2"/>
      <c r="AC968" s="2"/>
      <c r="AD968" s="2"/>
      <c r="AE968" s="2"/>
      <c r="AG968" s="2"/>
    </row>
    <row r="969" customFormat="false" ht="15" hidden="false" customHeight="false" outlineLevel="0" collapsed="false">
      <c r="A969" s="2"/>
      <c r="E969" s="2"/>
      <c r="V969" s="2"/>
      <c r="W969" s="2"/>
      <c r="AC969" s="2"/>
      <c r="AD969" s="2"/>
      <c r="AE969" s="2"/>
      <c r="AG969" s="2"/>
    </row>
    <row r="970" customFormat="false" ht="15" hidden="false" customHeight="false" outlineLevel="0" collapsed="false">
      <c r="A970" s="2"/>
      <c r="E970" s="2"/>
      <c r="V970" s="2"/>
      <c r="W970" s="2"/>
      <c r="AC970" s="2"/>
      <c r="AD970" s="2"/>
      <c r="AE970" s="2"/>
      <c r="AG970" s="2"/>
    </row>
    <row r="971" customFormat="false" ht="15" hidden="false" customHeight="false" outlineLevel="0" collapsed="false">
      <c r="A971" s="2"/>
      <c r="E971" s="2"/>
      <c r="V971" s="2"/>
      <c r="W971" s="2"/>
      <c r="AC971" s="2"/>
      <c r="AD971" s="2"/>
      <c r="AE971" s="2"/>
      <c r="AG971" s="2"/>
    </row>
    <row r="972" customFormat="false" ht="15" hidden="false" customHeight="false" outlineLevel="0" collapsed="false">
      <c r="A972" s="2"/>
      <c r="E972" s="2"/>
      <c r="V972" s="2"/>
      <c r="W972" s="2"/>
      <c r="AC972" s="2"/>
      <c r="AD972" s="2"/>
      <c r="AE972" s="2"/>
      <c r="AG972" s="2"/>
    </row>
    <row r="973" customFormat="false" ht="15" hidden="false" customHeight="false" outlineLevel="0" collapsed="false">
      <c r="A973" s="2"/>
      <c r="E973" s="2"/>
      <c r="V973" s="2"/>
      <c r="W973" s="2"/>
      <c r="AC973" s="2"/>
      <c r="AD973" s="2"/>
      <c r="AE973" s="2"/>
      <c r="AG973" s="2"/>
    </row>
    <row r="974" customFormat="false" ht="15" hidden="false" customHeight="false" outlineLevel="0" collapsed="false">
      <c r="A974" s="2"/>
      <c r="E974" s="2"/>
      <c r="V974" s="2"/>
      <c r="W974" s="2"/>
      <c r="AC974" s="2"/>
      <c r="AD974" s="2"/>
      <c r="AE974" s="2"/>
      <c r="AG974" s="2"/>
    </row>
    <row r="975" customFormat="false" ht="15" hidden="false" customHeight="false" outlineLevel="0" collapsed="false">
      <c r="A975" s="2"/>
      <c r="E975" s="2"/>
      <c r="V975" s="2"/>
      <c r="W975" s="2"/>
      <c r="AC975" s="2"/>
      <c r="AD975" s="2"/>
      <c r="AE975" s="2"/>
      <c r="AG975" s="2"/>
    </row>
    <row r="976" customFormat="false" ht="15" hidden="false" customHeight="false" outlineLevel="0" collapsed="false">
      <c r="A976" s="2"/>
      <c r="E976" s="2"/>
      <c r="V976" s="2"/>
      <c r="W976" s="2"/>
      <c r="AC976" s="2"/>
      <c r="AD976" s="2"/>
      <c r="AE976" s="2"/>
      <c r="AG976" s="2"/>
    </row>
    <row r="977" customFormat="false" ht="15" hidden="false" customHeight="false" outlineLevel="0" collapsed="false">
      <c r="A977" s="2"/>
      <c r="E977" s="2"/>
      <c r="V977" s="2"/>
      <c r="W977" s="2"/>
      <c r="AC977" s="2"/>
      <c r="AD977" s="2"/>
      <c r="AE977" s="2"/>
      <c r="AG977" s="2"/>
    </row>
    <row r="978" customFormat="false" ht="15" hidden="false" customHeight="false" outlineLevel="0" collapsed="false">
      <c r="A978" s="2"/>
      <c r="E978" s="2"/>
      <c r="V978" s="2"/>
      <c r="W978" s="2"/>
      <c r="AC978" s="2"/>
      <c r="AD978" s="2"/>
      <c r="AE978" s="2"/>
      <c r="AG978" s="2"/>
    </row>
    <row r="979" customFormat="false" ht="15" hidden="false" customHeight="false" outlineLevel="0" collapsed="false">
      <c r="A979" s="2"/>
      <c r="E979" s="2"/>
      <c r="V979" s="2"/>
      <c r="W979" s="2"/>
      <c r="AC979" s="2"/>
      <c r="AD979" s="2"/>
      <c r="AE979" s="2"/>
      <c r="AG979" s="2"/>
    </row>
    <row r="980" customFormat="false" ht="15" hidden="false" customHeight="false" outlineLevel="0" collapsed="false">
      <c r="A980" s="2"/>
      <c r="E980" s="2"/>
      <c r="V980" s="2"/>
      <c r="W980" s="2"/>
      <c r="AC980" s="2"/>
      <c r="AD980" s="2"/>
      <c r="AE980" s="2"/>
      <c r="AG980" s="2"/>
    </row>
    <row r="981" customFormat="false" ht="15" hidden="false" customHeight="false" outlineLevel="0" collapsed="false">
      <c r="A981" s="2"/>
      <c r="E981" s="2"/>
      <c r="V981" s="2"/>
      <c r="W981" s="2"/>
      <c r="AC981" s="2"/>
      <c r="AD981" s="2"/>
      <c r="AE981" s="2"/>
      <c r="AG981" s="2"/>
    </row>
    <row r="982" customFormat="false" ht="15" hidden="false" customHeight="false" outlineLevel="0" collapsed="false">
      <c r="A982" s="2"/>
      <c r="E982" s="2"/>
      <c r="V982" s="2"/>
      <c r="W982" s="2"/>
      <c r="AC982" s="2"/>
      <c r="AD982" s="2"/>
      <c r="AE982" s="2"/>
      <c r="AG982" s="2"/>
    </row>
    <row r="983" customFormat="false" ht="15" hidden="false" customHeight="false" outlineLevel="0" collapsed="false">
      <c r="A983" s="2"/>
      <c r="E983" s="2"/>
      <c r="V983" s="2"/>
      <c r="W983" s="2"/>
      <c r="AC983" s="2"/>
      <c r="AD983" s="2"/>
      <c r="AE983" s="2"/>
      <c r="AG983" s="2"/>
    </row>
    <row r="984" customFormat="false" ht="15" hidden="false" customHeight="false" outlineLevel="0" collapsed="false">
      <c r="A984" s="2"/>
      <c r="E984" s="2"/>
      <c r="V984" s="2"/>
      <c r="W984" s="2"/>
      <c r="AC984" s="2"/>
      <c r="AD984" s="2"/>
      <c r="AE984" s="2"/>
      <c r="AG984" s="2"/>
    </row>
    <row r="985" customFormat="false" ht="15" hidden="false" customHeight="false" outlineLevel="0" collapsed="false">
      <c r="A985" s="2"/>
      <c r="E985" s="2"/>
      <c r="V985" s="2"/>
      <c r="W985" s="2"/>
      <c r="AC985" s="2"/>
      <c r="AD985" s="2"/>
      <c r="AE985" s="2"/>
      <c r="AG985" s="2"/>
    </row>
    <row r="986" customFormat="false" ht="15" hidden="false" customHeight="false" outlineLevel="0" collapsed="false">
      <c r="A986" s="2"/>
      <c r="E986" s="2"/>
      <c r="V986" s="2"/>
      <c r="W986" s="2"/>
      <c r="AC986" s="2"/>
      <c r="AD986" s="2"/>
      <c r="AE986" s="2"/>
      <c r="AG986" s="2"/>
    </row>
    <row r="987" customFormat="false" ht="15" hidden="false" customHeight="false" outlineLevel="0" collapsed="false">
      <c r="A987" s="2"/>
      <c r="E987" s="2"/>
      <c r="V987" s="2"/>
      <c r="W987" s="2"/>
      <c r="AC987" s="2"/>
      <c r="AD987" s="2"/>
      <c r="AE987" s="2"/>
      <c r="AG987" s="2"/>
    </row>
    <row r="988" customFormat="false" ht="15" hidden="false" customHeight="false" outlineLevel="0" collapsed="false">
      <c r="A988" s="2"/>
      <c r="E988" s="2"/>
      <c r="V988" s="2"/>
      <c r="W988" s="2"/>
      <c r="AC988" s="2"/>
      <c r="AD988" s="2"/>
      <c r="AE988" s="2"/>
      <c r="AG988" s="2"/>
    </row>
    <row r="989" customFormat="false" ht="15" hidden="false" customHeight="false" outlineLevel="0" collapsed="false">
      <c r="A989" s="2"/>
      <c r="E989" s="2"/>
      <c r="V989" s="2"/>
      <c r="W989" s="2"/>
      <c r="AC989" s="2"/>
      <c r="AD989" s="2"/>
      <c r="AE989" s="2"/>
      <c r="AG989" s="2"/>
    </row>
    <row r="990" customFormat="false" ht="15" hidden="false" customHeight="false" outlineLevel="0" collapsed="false">
      <c r="A990" s="2"/>
      <c r="E990" s="2"/>
      <c r="V990" s="2"/>
      <c r="W990" s="2"/>
      <c r="AC990" s="2"/>
      <c r="AD990" s="2"/>
      <c r="AE990" s="2"/>
      <c r="AG990" s="2"/>
    </row>
    <row r="991" customFormat="false" ht="15" hidden="false" customHeight="false" outlineLevel="0" collapsed="false">
      <c r="A991" s="2"/>
      <c r="E991" s="2"/>
      <c r="V991" s="2"/>
      <c r="W991" s="2"/>
      <c r="AC991" s="2"/>
      <c r="AD991" s="2"/>
      <c r="AE991" s="2"/>
      <c r="AG991" s="2"/>
    </row>
    <row r="992" customFormat="false" ht="15" hidden="false" customHeight="false" outlineLevel="0" collapsed="false">
      <c r="A992" s="2"/>
      <c r="E992" s="2"/>
      <c r="V992" s="2"/>
      <c r="W992" s="2"/>
      <c r="AC992" s="2"/>
      <c r="AD992" s="2"/>
      <c r="AE992" s="2"/>
      <c r="AG992" s="2"/>
    </row>
    <row r="993" customFormat="false" ht="15" hidden="false" customHeight="false" outlineLevel="0" collapsed="false">
      <c r="A993" s="2"/>
      <c r="E993" s="2"/>
      <c r="V993" s="2"/>
      <c r="W993" s="2"/>
      <c r="AC993" s="2"/>
      <c r="AD993" s="2"/>
      <c r="AE993" s="2"/>
      <c r="AG993" s="2"/>
    </row>
    <row r="994" customFormat="false" ht="15" hidden="false" customHeight="false" outlineLevel="0" collapsed="false">
      <c r="A994" s="2"/>
      <c r="E994" s="2"/>
      <c r="V994" s="2"/>
      <c r="W994" s="2"/>
      <c r="AC994" s="2"/>
      <c r="AD994" s="2"/>
      <c r="AE994" s="2"/>
      <c r="AG994" s="2"/>
    </row>
    <row r="995" customFormat="false" ht="15" hidden="false" customHeight="false" outlineLevel="0" collapsed="false">
      <c r="A995" s="2"/>
      <c r="E995" s="2"/>
      <c r="V995" s="2"/>
      <c r="W995" s="2"/>
      <c r="AC995" s="2"/>
      <c r="AD995" s="2"/>
      <c r="AE995" s="2"/>
      <c r="AG995" s="2"/>
    </row>
    <row r="996" customFormat="false" ht="15" hidden="false" customHeight="false" outlineLevel="0" collapsed="false">
      <c r="A996" s="2"/>
      <c r="E996" s="2"/>
      <c r="V996" s="2"/>
      <c r="W996" s="2"/>
      <c r="AC996" s="2"/>
      <c r="AD996" s="2"/>
      <c r="AE996" s="2"/>
      <c r="AG996" s="2"/>
    </row>
    <row r="997" customFormat="false" ht="15" hidden="false" customHeight="false" outlineLevel="0" collapsed="false">
      <c r="A997" s="2"/>
      <c r="E997" s="2"/>
      <c r="V997" s="2"/>
      <c r="W997" s="2"/>
      <c r="AC997" s="2"/>
      <c r="AD997" s="2"/>
      <c r="AE997" s="2"/>
      <c r="AG997" s="2"/>
    </row>
    <row r="998" customFormat="false" ht="15" hidden="false" customHeight="false" outlineLevel="0" collapsed="false">
      <c r="A998" s="2"/>
      <c r="E998" s="2"/>
      <c r="V998" s="2"/>
      <c r="W998" s="2"/>
      <c r="AC998" s="2"/>
      <c r="AD998" s="2"/>
      <c r="AE998" s="2"/>
      <c r="AG998" s="2"/>
    </row>
    <row r="999" customFormat="false" ht="15" hidden="false" customHeight="false" outlineLevel="0" collapsed="false">
      <c r="A999" s="2"/>
      <c r="E999" s="2"/>
      <c r="V999" s="2"/>
      <c r="W999" s="2"/>
      <c r="AC999" s="2"/>
      <c r="AD999" s="2"/>
      <c r="AE999" s="2"/>
      <c r="AG999" s="2"/>
    </row>
    <row r="1000" customFormat="false" ht="15" hidden="false" customHeight="false" outlineLevel="0" collapsed="false">
      <c r="A1000" s="2"/>
      <c r="E1000" s="2"/>
      <c r="V1000" s="2"/>
      <c r="W1000" s="2"/>
      <c r="AC1000" s="2"/>
      <c r="AD1000" s="2"/>
      <c r="AE1000" s="2"/>
      <c r="AG1000" s="2"/>
    </row>
    <row r="1001" customFormat="false" ht="15" hidden="false" customHeight="false" outlineLevel="0" collapsed="false">
      <c r="A1001" s="2"/>
      <c r="E1001" s="2"/>
      <c r="V1001" s="2"/>
      <c r="W1001" s="2"/>
      <c r="AC1001" s="2"/>
      <c r="AD1001" s="2"/>
      <c r="AE1001" s="2"/>
      <c r="AG1001" s="2"/>
    </row>
    <row r="1048576" customFormat="false" ht="15" hidden="false" customHeight="true" outlineLevel="0" collapsed="false"/>
  </sheetData>
  <autoFilter ref="A1:AG1"/>
  <conditionalFormatting sqref="Z2:Z2000">
    <cfRule type="expression" priority="2" aboveAverage="0" equalAverage="0" bottom="0" percent="0" rank="0" text="" dxfId="4">
      <formula>$Z2="P1"</formula>
    </cfRule>
    <cfRule type="expression" priority="3" aboveAverage="0" equalAverage="0" bottom="0" percent="0" rank="0" text="" dxfId="5">
      <formula>$Z2="P2"</formula>
    </cfRule>
    <cfRule type="expression" priority="4" aboveAverage="0" equalAverage="0" bottom="0" percent="0" rank="0" text="" dxfId="6">
      <formula>$Z2="P3"</formula>
    </cfRule>
    <cfRule type="expression" priority="5" aboveAverage="0" equalAverage="0" bottom="0" percent="0" rank="0" text="" dxfId="7">
      <formula>$Z2="Disqualified"</formula>
    </cfRule>
  </conditionalFormatting>
  <conditionalFormatting sqref="Y2:Y2000">
    <cfRule type="colorScale" priority="6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conditionalFormatting sqref="X2:X2000">
    <cfRule type="expression" priority="7" aboveAverage="0" equalAverage="0" bottom="0" percent="0" rank="0" text="" dxfId="8">
      <formula>OR($X2="Human requested",$X2="Needs clarification")</formula>
    </cfRule>
  </conditionalFormatting>
  <dataValidations count="15">
    <dataValidation allowBlank="true" error="Not one of the values the n8n flow writes." errorStyle="warning" errorTitle="Unexpected value" operator="between" showDropDown="false" showErrorMessage="true" showInputMessage="false" sqref="B2:B1001" type="list">
      <formula1>"Telegram,WhatsApp,Meta Lead Form,Google Lead Form,Website Form,Website Chat,CSV Import,Test,Other"</formula1>
      <formula2>0</formula2>
    </dataValidation>
    <dataValidation allowBlank="true" error="Not one of the values the n8n flow writes." errorStyle="warning" errorTitle="Unexpected value" operator="between" showDropDown="false" showErrorMessage="true" showInputMessage="false" sqref="I2:I1001" type="list">
      <formula1>"Villa,Apartment,Land,Residential Building,Commercial Building,Unknown"</formula1>
      <formula2>0</formula2>
    </dataValidation>
    <dataValidation allowBlank="true" error="Not one of the values the n8n flow writes." errorStyle="warning" errorTitle="Unexpected value" operator="between" showDropDown="false" showErrorMessage="true" showInputMessage="false" sqref="K2:K1001" type="list">
      <formula1>"Investment,Residence,Business use,Unknown"</formula1>
      <formula2>0</formula2>
    </dataValidation>
    <dataValidation allowBlank="true" error="Not one of the values the n8n flow writes." errorStyle="warning" errorTitle="Unexpected value" operator="between" showDropDown="false" showErrorMessage="true" showInputMessage="false" sqref="L2:L1001" type="list">
      <formula1>"Individual,Company,Unknown"</formula1>
      <formula2>0</formula2>
    </dataValidation>
    <dataValidation allowBlank="true" error="Not one of the values the n8n flow writes." errorStyle="warning" errorTitle="Unexpected value" operator="between" showDropDown="false" showErrorMessage="true" showInputMessage="false" sqref="M2:M1001" type="list">
      <formula1>"Yes,No,Unknown"</formula1>
      <formula2>0</formula2>
    </dataValidation>
    <dataValidation allowBlank="true" error="Not one of the values the n8n flow writes." errorStyle="warning" errorTitle="Unexpected value" operator="between" showDropDown="false" showErrorMessage="true" showInputMessage="false" sqref="N2:N1001" type="list">
      <formula1>"Ready to participate,Serious,Browsing,No intent,Contact later,Do not contact,Unknown"</formula1>
      <formula2>0</formula2>
    </dataValidation>
    <dataValidation allowBlank="true" error="Not one of the values the n8n flow writes." errorStyle="warning" errorTitle="Unexpected value" operator="between" showDropDown="false" showErrorMessage="true" showInputMessage="false" sqref="O2:O1001" type="list">
      <formula1>"Strong,Partial,Poor,Unknown"</formula1>
      <formula2>0</formula2>
    </dataValidation>
    <dataValidation allowBlank="true" error="Not one of the values the n8n flow writes." errorStyle="warning" errorTitle="Unexpected value" operator="between" showDropDown="false" showErrorMessage="true" showInputMessage="false" sqref="P2:P1001" type="list">
      <formula1>"Strong,Partial,Poor,Unknown"</formula1>
      <formula2>0</formula2>
    </dataValidation>
    <dataValidation allowBlank="true" error="Not one of the values the n8n flow writes." errorStyle="warning" errorTitle="Unexpected value" operator="between" showDropDown="false" showErrorMessage="true" showInputMessage="false" sqref="Q2:Q1001" type="list">
      <formula1>"Cash ready,Pre-approved financing,Financing needed,Not ready,Unknown"</formula1>
      <formula2>0</formula2>
    </dataValidation>
    <dataValidation allowBlank="true" error="Not one of the values the n8n flow writes." errorStyle="warning" errorTitle="Unexpected value" operator="between" showDropDown="false" showErrorMessage="true" showInputMessage="false" sqref="R2:R1001" type="list">
      <formula1>"Immediately,Within 1 month,1–3 months,3–6 months,6+ months,Unknown"</formula1>
      <formula2>0</formula2>
    </dataValidation>
    <dataValidation allowBlank="true" error="Not one of the values the n8n flow writes." errorStyle="warning" errorTitle="Unexpected value" operator="between" showDropDown="false" showErrorMessage="true" showInputMessage="false" sqref="S2:S1001" type="list">
      <formula1>"Ready to participate,Serious,Browsing,No intent,Unknown"</formula1>
      <formula2>0</formula2>
    </dataValidation>
    <dataValidation allowBlank="true" error="Not one of the values the n8n flow writes." errorStyle="warning" errorTitle="Unexpected value" operator="between" showDropDown="false" showErrorMessage="true" showInputMessage="false" sqref="T2:T1001" type="list">
      <formula1>"Phone,WhatsApp,Email,Telegram,Unknown"</formula1>
      <formula2>0</formula2>
    </dataValidation>
    <dataValidation allowBlank="true" error="Not one of the values the n8n flow writes." errorStyle="warning" errorTitle="Unexpected value" operator="between" showDropDown="false" showErrorMessage="true" showInputMessage="false" sqref="U2:U1001" type="list">
      <formula1>"Consented,Contact later,Do not contact,Unknown"</formula1>
      <formula2>0</formula2>
    </dataValidation>
    <dataValidation allowBlank="true" error="Not one of the values the n8n flow writes." errorStyle="warning" errorTitle="Unexpected value" operator="between" showDropDown="false" showErrorMessage="true" showInputMessage="false" sqref="X2:X1001" type="list">
      <formula1>"Qualified,Follow-up,Nurture,Needs clarification,Human requested,Disqualified"</formula1>
      <formula2>0</formula2>
    </dataValidation>
    <dataValidation allowBlank="true" error="Not one of the values the n8n flow writes." errorStyle="warning" errorTitle="Unexpected value" operator="between" showDropDown="false" showErrorMessage="true" showInputMessage="false" sqref="Z2:Z1001" type="list">
      <formula1>"P1,P2,P3,Disqualified"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24"/>
    <col collapsed="false" customWidth="true" hidden="false" outlineLevel="0" max="6" min="6" style="0" width="8.63"/>
    <col collapsed="false" customWidth="true" hidden="false" outlineLevel="0" max="9" min="7" style="0" width="30"/>
    <col collapsed="false" customWidth="true" hidden="false" outlineLevel="0" max="26" min="10" style="0" width="8.63"/>
  </cols>
  <sheetData>
    <row r="1" customFormat="false" ht="15" hidden="false" customHeight="false" outlineLevel="0" collapsed="false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4"/>
      <c r="G1" s="3" t="s">
        <v>25</v>
      </c>
      <c r="H1" s="3" t="s">
        <v>38</v>
      </c>
      <c r="I1" s="3" t="s">
        <v>39</v>
      </c>
    </row>
    <row r="2" customFormat="false" ht="41.75" hidden="false" customHeight="false" outlineLevel="0" collapsed="false">
      <c r="A2" s="4" t="s">
        <v>14</v>
      </c>
      <c r="B2" s="4" t="s">
        <v>40</v>
      </c>
      <c r="C2" s="4" t="n">
        <v>20</v>
      </c>
      <c r="D2" s="4" t="s">
        <v>41</v>
      </c>
      <c r="E2" s="4"/>
      <c r="F2" s="4"/>
      <c r="G2" s="5" t="s">
        <v>42</v>
      </c>
      <c r="H2" s="5" t="s">
        <v>43</v>
      </c>
      <c r="I2" s="5" t="s">
        <v>44</v>
      </c>
    </row>
    <row r="3" customFormat="false" ht="55.2" hidden="false" customHeight="false" outlineLevel="0" collapsed="false">
      <c r="A3" s="4" t="s">
        <v>14</v>
      </c>
      <c r="B3" s="4" t="s">
        <v>45</v>
      </c>
      <c r="C3" s="4" t="n">
        <v>10</v>
      </c>
      <c r="D3" s="4" t="s">
        <v>46</v>
      </c>
      <c r="E3" s="4"/>
      <c r="F3" s="4"/>
      <c r="G3" s="5" t="s">
        <v>47</v>
      </c>
      <c r="H3" s="5" t="s">
        <v>48</v>
      </c>
      <c r="I3" s="5" t="s">
        <v>49</v>
      </c>
    </row>
    <row r="4" customFormat="false" ht="28.35" hidden="false" customHeight="false" outlineLevel="0" collapsed="false">
      <c r="A4" s="4" t="s">
        <v>14</v>
      </c>
      <c r="B4" s="4" t="s">
        <v>50</v>
      </c>
      <c r="C4" s="4" t="n">
        <v>5</v>
      </c>
      <c r="D4" s="4" t="s">
        <v>51</v>
      </c>
      <c r="E4" s="4" t="s">
        <v>52</v>
      </c>
      <c r="F4" s="4"/>
      <c r="G4" s="5" t="s">
        <v>53</v>
      </c>
      <c r="H4" s="5" t="s">
        <v>54</v>
      </c>
      <c r="I4" s="5" t="s">
        <v>55</v>
      </c>
    </row>
    <row r="5" customFormat="false" ht="28.35" hidden="false" customHeight="false" outlineLevel="0" collapsed="false">
      <c r="A5" s="4" t="s">
        <v>14</v>
      </c>
      <c r="B5" s="4" t="s">
        <v>56</v>
      </c>
      <c r="C5" s="4" t="n">
        <v>0</v>
      </c>
      <c r="D5" s="4" t="s">
        <v>57</v>
      </c>
      <c r="E5" s="4"/>
      <c r="F5" s="4"/>
      <c r="G5" s="5" t="s">
        <v>58</v>
      </c>
      <c r="H5" s="5" t="s">
        <v>59</v>
      </c>
      <c r="I5" s="5" t="s">
        <v>60</v>
      </c>
    </row>
    <row r="6" customFormat="false" ht="28.35" hidden="false" customHeight="false" outlineLevel="0" collapsed="false">
      <c r="A6" s="4" t="s">
        <v>15</v>
      </c>
      <c r="B6" s="4" t="s">
        <v>40</v>
      </c>
      <c r="C6" s="4" t="n">
        <v>15</v>
      </c>
      <c r="D6" s="4" t="s">
        <v>61</v>
      </c>
      <c r="E6" s="4"/>
      <c r="F6" s="4"/>
      <c r="G6" s="5" t="s">
        <v>62</v>
      </c>
      <c r="H6" s="5" t="s">
        <v>63</v>
      </c>
      <c r="I6" s="5" t="s">
        <v>64</v>
      </c>
    </row>
    <row r="7" customFormat="false" ht="28.35" hidden="false" customHeight="false" outlineLevel="0" collapsed="false">
      <c r="A7" s="4" t="s">
        <v>15</v>
      </c>
      <c r="B7" s="4" t="s">
        <v>45</v>
      </c>
      <c r="C7" s="4" t="n">
        <v>8</v>
      </c>
      <c r="D7" s="4" t="s">
        <v>65</v>
      </c>
      <c r="E7" s="4"/>
      <c r="F7" s="4"/>
      <c r="G7" s="5" t="s">
        <v>66</v>
      </c>
      <c r="H7" s="5" t="s">
        <v>67</v>
      </c>
      <c r="I7" s="5" t="s">
        <v>68</v>
      </c>
    </row>
    <row r="8" customFormat="false" ht="41.75" hidden="false" customHeight="false" outlineLevel="0" collapsed="false">
      <c r="A8" s="4" t="s">
        <v>15</v>
      </c>
      <c r="B8" s="4" t="s">
        <v>50</v>
      </c>
      <c r="C8" s="4" t="n">
        <v>4</v>
      </c>
      <c r="D8" s="4" t="s">
        <v>69</v>
      </c>
      <c r="E8" s="4"/>
      <c r="F8" s="4"/>
      <c r="G8" s="5" t="s">
        <v>70</v>
      </c>
      <c r="H8" s="5" t="s">
        <v>71</v>
      </c>
      <c r="I8" s="5" t="s">
        <v>72</v>
      </c>
    </row>
    <row r="9" customFormat="false" ht="28.35" hidden="false" customHeight="false" outlineLevel="0" collapsed="false">
      <c r="A9" s="4" t="s">
        <v>15</v>
      </c>
      <c r="B9" s="4" t="s">
        <v>56</v>
      </c>
      <c r="C9" s="4" t="n">
        <v>0</v>
      </c>
      <c r="D9" s="4" t="s">
        <v>73</v>
      </c>
      <c r="E9" s="4"/>
      <c r="F9" s="4"/>
      <c r="G9" s="4"/>
      <c r="H9" s="4"/>
      <c r="I9" s="4"/>
    </row>
    <row r="10" customFormat="false" ht="15" hidden="false" customHeight="false" outlineLevel="0" collapsed="false">
      <c r="A10" s="4" t="s">
        <v>16</v>
      </c>
      <c r="B10" s="4" t="s">
        <v>74</v>
      </c>
      <c r="C10" s="4" t="n">
        <v>20</v>
      </c>
      <c r="D10" s="4" t="s">
        <v>75</v>
      </c>
      <c r="E10" s="4" t="s">
        <v>76</v>
      </c>
      <c r="F10" s="4"/>
      <c r="G10" s="4"/>
      <c r="H10" s="4"/>
      <c r="I10" s="4"/>
    </row>
    <row r="11" customFormat="false" ht="15" hidden="false" customHeight="false" outlineLevel="0" collapsed="false">
      <c r="A11" s="4" t="s">
        <v>16</v>
      </c>
      <c r="B11" s="4" t="s">
        <v>77</v>
      </c>
      <c r="C11" s="4" t="n">
        <v>15</v>
      </c>
      <c r="D11" s="4" t="s">
        <v>78</v>
      </c>
      <c r="E11" s="4" t="s">
        <v>76</v>
      </c>
      <c r="F11" s="4"/>
      <c r="G11" s="4"/>
      <c r="H11" s="4"/>
      <c r="I11" s="4"/>
    </row>
    <row r="12" customFormat="false" ht="28.35" hidden="false" customHeight="false" outlineLevel="0" collapsed="false">
      <c r="A12" s="4" t="s">
        <v>16</v>
      </c>
      <c r="B12" s="4" t="s">
        <v>79</v>
      </c>
      <c r="C12" s="4" t="n">
        <v>8</v>
      </c>
      <c r="D12" s="4" t="s">
        <v>80</v>
      </c>
      <c r="E12" s="4" t="s">
        <v>81</v>
      </c>
      <c r="F12" s="4"/>
      <c r="G12" s="4"/>
      <c r="H12" s="4"/>
      <c r="I12" s="4"/>
    </row>
    <row r="13" customFormat="false" ht="15" hidden="false" customHeight="false" outlineLevel="0" collapsed="false">
      <c r="A13" s="4" t="s">
        <v>16</v>
      </c>
      <c r="B13" s="4" t="s">
        <v>50</v>
      </c>
      <c r="C13" s="4" t="n">
        <v>4</v>
      </c>
      <c r="D13" s="4" t="s">
        <v>69</v>
      </c>
      <c r="E13" s="4"/>
      <c r="F13" s="4"/>
      <c r="G13" s="4"/>
      <c r="H13" s="4"/>
      <c r="I13" s="4"/>
    </row>
    <row r="14" customFormat="false" ht="15" hidden="false" customHeight="false" outlineLevel="0" collapsed="false">
      <c r="A14" s="4" t="s">
        <v>16</v>
      </c>
      <c r="B14" s="4" t="s">
        <v>82</v>
      </c>
      <c r="C14" s="4" t="n">
        <v>0</v>
      </c>
      <c r="D14" s="4" t="s">
        <v>83</v>
      </c>
      <c r="E14" s="4"/>
      <c r="F14" s="4"/>
      <c r="G14" s="4"/>
      <c r="H14" s="4"/>
      <c r="I14" s="4"/>
    </row>
    <row r="15" customFormat="false" ht="28.35" hidden="false" customHeight="false" outlineLevel="0" collapsed="false">
      <c r="A15" s="4" t="s">
        <v>17</v>
      </c>
      <c r="B15" s="4" t="s">
        <v>84</v>
      </c>
      <c r="C15" s="4" t="n">
        <v>15</v>
      </c>
      <c r="D15" s="4" t="s">
        <v>85</v>
      </c>
      <c r="E15" s="4" t="s">
        <v>86</v>
      </c>
      <c r="F15" s="4"/>
      <c r="G15" s="4"/>
      <c r="H15" s="4"/>
      <c r="I15" s="4"/>
    </row>
    <row r="16" customFormat="false" ht="15" hidden="false" customHeight="false" outlineLevel="0" collapsed="false">
      <c r="A16" s="4" t="s">
        <v>17</v>
      </c>
      <c r="B16" s="4" t="s">
        <v>87</v>
      </c>
      <c r="C16" s="4" t="n">
        <v>12</v>
      </c>
      <c r="D16" s="4" t="s">
        <v>88</v>
      </c>
      <c r="E16" s="4"/>
      <c r="F16" s="4"/>
      <c r="G16" s="4"/>
      <c r="H16" s="4"/>
      <c r="I16" s="4"/>
    </row>
    <row r="17" customFormat="false" ht="15" hidden="false" customHeight="false" outlineLevel="0" collapsed="false">
      <c r="A17" s="4" t="s">
        <v>17</v>
      </c>
      <c r="B17" s="4" t="s">
        <v>89</v>
      </c>
      <c r="C17" s="4" t="n">
        <v>8</v>
      </c>
      <c r="D17" s="4" t="s">
        <v>90</v>
      </c>
      <c r="E17" s="4"/>
      <c r="F17" s="4"/>
      <c r="G17" s="4"/>
      <c r="H17" s="4"/>
      <c r="I17" s="4"/>
    </row>
    <row r="18" customFormat="false" ht="15" hidden="false" customHeight="false" outlineLevel="0" collapsed="false">
      <c r="A18" s="4" t="s">
        <v>17</v>
      </c>
      <c r="B18" s="4" t="s">
        <v>91</v>
      </c>
      <c r="C18" s="4" t="n">
        <v>4</v>
      </c>
      <c r="D18" s="4" t="s">
        <v>92</v>
      </c>
      <c r="E18" s="4"/>
      <c r="F18" s="4"/>
      <c r="G18" s="4"/>
      <c r="H18" s="4"/>
      <c r="I18" s="4"/>
    </row>
    <row r="19" customFormat="false" ht="15" hidden="false" customHeight="false" outlineLevel="0" collapsed="false">
      <c r="A19" s="4" t="s">
        <v>17</v>
      </c>
      <c r="B19" s="4" t="s">
        <v>93</v>
      </c>
      <c r="C19" s="4" t="n">
        <v>0</v>
      </c>
      <c r="D19" s="4" t="s">
        <v>94</v>
      </c>
      <c r="E19" s="4"/>
      <c r="F19" s="4"/>
      <c r="G19" s="4"/>
      <c r="H19" s="4"/>
      <c r="I19" s="4"/>
    </row>
    <row r="20" customFormat="false" ht="15" hidden="false" customHeight="false" outlineLevel="0" collapsed="false">
      <c r="A20" s="4" t="s">
        <v>17</v>
      </c>
      <c r="B20" s="4" t="s">
        <v>50</v>
      </c>
      <c r="C20" s="4" t="n">
        <v>3</v>
      </c>
      <c r="D20" s="4" t="s">
        <v>69</v>
      </c>
      <c r="E20" s="4"/>
      <c r="F20" s="4"/>
      <c r="G20" s="4"/>
      <c r="H20" s="4"/>
      <c r="I20" s="4"/>
    </row>
    <row r="21" customFormat="false" ht="15.75" hidden="false" customHeight="true" outlineLevel="0" collapsed="false">
      <c r="A21" s="4" t="s">
        <v>18</v>
      </c>
      <c r="B21" s="4" t="s">
        <v>95</v>
      </c>
      <c r="C21" s="4" t="n">
        <v>30</v>
      </c>
      <c r="D21" s="4" t="s">
        <v>96</v>
      </c>
      <c r="E21" s="4"/>
      <c r="F21" s="4"/>
      <c r="G21" s="4"/>
      <c r="H21" s="4"/>
      <c r="I21" s="4"/>
    </row>
    <row r="22" customFormat="false" ht="15.75" hidden="false" customHeight="true" outlineLevel="0" collapsed="false">
      <c r="A22" s="4" t="s">
        <v>18</v>
      </c>
      <c r="B22" s="4" t="s">
        <v>97</v>
      </c>
      <c r="C22" s="4" t="n">
        <v>20</v>
      </c>
      <c r="D22" s="4" t="s">
        <v>98</v>
      </c>
      <c r="E22" s="4" t="s">
        <v>99</v>
      </c>
      <c r="F22" s="4"/>
      <c r="G22" s="4"/>
      <c r="H22" s="4"/>
      <c r="I22" s="4"/>
    </row>
    <row r="23" customFormat="false" ht="15.75" hidden="false" customHeight="true" outlineLevel="0" collapsed="false">
      <c r="A23" s="4" t="s">
        <v>18</v>
      </c>
      <c r="B23" s="4" t="s">
        <v>100</v>
      </c>
      <c r="C23" s="4" t="n">
        <v>5</v>
      </c>
      <c r="D23" s="4" t="s">
        <v>101</v>
      </c>
      <c r="E23" s="4"/>
      <c r="F23" s="4"/>
      <c r="G23" s="4"/>
      <c r="H23" s="4"/>
      <c r="I23" s="4"/>
    </row>
    <row r="24" customFormat="false" ht="15.75" hidden="false" customHeight="true" outlineLevel="0" collapsed="false">
      <c r="A24" s="0" t="s">
        <v>18</v>
      </c>
      <c r="B24" s="0" t="s">
        <v>102</v>
      </c>
      <c r="C24" s="0" t="n">
        <v>0</v>
      </c>
      <c r="D24" s="0" t="s">
        <v>103</v>
      </c>
      <c r="E24" s="0" t="s">
        <v>104</v>
      </c>
    </row>
    <row r="25" customFormat="false" ht="15.75" hidden="false" customHeight="true" outlineLevel="0" collapsed="false">
      <c r="A25" s="0" t="s">
        <v>18</v>
      </c>
      <c r="B25" s="0" t="s">
        <v>50</v>
      </c>
      <c r="C25" s="0" t="n">
        <v>5</v>
      </c>
      <c r="D25" s="0" t="s">
        <v>69</v>
      </c>
    </row>
    <row r="26" customFormat="false" ht="15.75" hidden="false" customHeight="true" outlineLevel="0" collapsed="false"/>
    <row r="27" customFormat="false" ht="15.75" hidden="false" customHeight="true" outlineLevel="0" collapsed="false">
      <c r="A27" s="6" t="s">
        <v>105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5" min="3" style="0" width="42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26" min="8" style="0" width="8.63"/>
  </cols>
  <sheetData>
    <row r="1" customFormat="false" ht="15" hidden="false" customHeight="false" outlineLevel="0" collapsed="false">
      <c r="A1" s="7" t="s">
        <v>106</v>
      </c>
      <c r="B1" s="7" t="s">
        <v>107</v>
      </c>
      <c r="C1" s="7" t="s">
        <v>108</v>
      </c>
      <c r="D1" s="7" t="s">
        <v>109</v>
      </c>
      <c r="E1" s="7" t="s">
        <v>110</v>
      </c>
      <c r="F1" s="7" t="s">
        <v>111</v>
      </c>
      <c r="G1" s="7" t="s">
        <v>37</v>
      </c>
    </row>
    <row r="2" customFormat="false" ht="28.35" hidden="false" customHeight="false" outlineLevel="0" collapsed="false">
      <c r="A2" s="4" t="n">
        <v>1</v>
      </c>
      <c r="B2" s="4" t="s">
        <v>112</v>
      </c>
      <c r="C2" s="4" t="s">
        <v>113</v>
      </c>
      <c r="D2" s="4" t="s">
        <v>114</v>
      </c>
      <c r="E2" s="4"/>
      <c r="F2" s="4"/>
      <c r="G2" s="4"/>
    </row>
    <row r="3" customFormat="false" ht="15" hidden="false" customHeight="false" outlineLevel="0" collapsed="false">
      <c r="A3" s="4" t="n">
        <v>2</v>
      </c>
      <c r="B3" s="4" t="s">
        <v>79</v>
      </c>
      <c r="C3" s="4" t="s">
        <v>115</v>
      </c>
      <c r="D3" s="4" t="s">
        <v>116</v>
      </c>
      <c r="E3" s="4"/>
      <c r="F3" s="4"/>
      <c r="G3" s="4"/>
    </row>
    <row r="4" customFormat="false" ht="15" hidden="false" customHeight="false" outlineLevel="0" collapsed="false">
      <c r="A4" s="4" t="n">
        <v>3</v>
      </c>
      <c r="B4" s="4" t="s">
        <v>117</v>
      </c>
      <c r="C4" s="4" t="s">
        <v>118</v>
      </c>
      <c r="D4" s="4" t="s">
        <v>119</v>
      </c>
      <c r="E4" s="4"/>
      <c r="F4" s="4"/>
      <c r="G4" s="4"/>
    </row>
    <row r="5" customFormat="false" ht="28.35" hidden="false" customHeight="false" outlineLevel="0" collapsed="false">
      <c r="A5" s="4" t="n">
        <v>4</v>
      </c>
      <c r="B5" s="4" t="s">
        <v>120</v>
      </c>
      <c r="C5" s="4" t="s">
        <v>121</v>
      </c>
      <c r="D5" s="4" t="s">
        <v>122</v>
      </c>
      <c r="E5" s="4"/>
      <c r="F5" s="4"/>
      <c r="G5" s="4"/>
    </row>
    <row r="6" customFormat="false" ht="28.35" hidden="false" customHeight="false" outlineLevel="0" collapsed="false">
      <c r="A6" s="4" t="n">
        <v>5</v>
      </c>
      <c r="B6" s="4" t="s">
        <v>123</v>
      </c>
      <c r="C6" s="4" t="s">
        <v>124</v>
      </c>
      <c r="D6" s="4" t="s">
        <v>125</v>
      </c>
      <c r="E6" s="4"/>
      <c r="F6" s="4"/>
      <c r="G6" s="4"/>
    </row>
    <row r="7" customFormat="false" ht="15" hidden="false" customHeight="false" outlineLevel="0" collapsed="false">
      <c r="A7" s="4" t="n">
        <v>6</v>
      </c>
      <c r="B7" s="4" t="s">
        <v>126</v>
      </c>
      <c r="C7" s="4" t="s">
        <v>127</v>
      </c>
      <c r="D7" s="4" t="s">
        <v>128</v>
      </c>
      <c r="E7" s="4"/>
      <c r="F7" s="4"/>
      <c r="G7" s="4"/>
    </row>
    <row r="8" customFormat="false" ht="15" hidden="false" customHeight="false" outlineLevel="0" collapsed="false">
      <c r="A8" s="4" t="n">
        <v>7</v>
      </c>
      <c r="B8" s="4" t="s">
        <v>129</v>
      </c>
      <c r="C8" s="4" t="s">
        <v>130</v>
      </c>
      <c r="D8" s="4" t="s">
        <v>131</v>
      </c>
      <c r="E8" s="4"/>
      <c r="F8" s="4"/>
      <c r="G8" s="4"/>
    </row>
    <row r="9" customFormat="false" ht="28.35" hidden="false" customHeight="false" outlineLevel="0" collapsed="false">
      <c r="A9" s="4" t="n">
        <v>8</v>
      </c>
      <c r="B9" s="4" t="s">
        <v>132</v>
      </c>
      <c r="C9" s="4" t="s">
        <v>133</v>
      </c>
      <c r="D9" s="4" t="s">
        <v>134</v>
      </c>
      <c r="E9" s="4"/>
      <c r="F9" s="4"/>
      <c r="G9" s="4"/>
    </row>
    <row r="10" customFormat="false" ht="15" hidden="false" customHeight="false" outlineLevel="0" collapsed="false">
      <c r="A10" s="4" t="n">
        <v>9</v>
      </c>
      <c r="B10" s="4" t="s">
        <v>135</v>
      </c>
      <c r="C10" s="4" t="s">
        <v>136</v>
      </c>
      <c r="D10" s="4" t="s">
        <v>137</v>
      </c>
      <c r="E10" s="4"/>
      <c r="F10" s="4"/>
      <c r="G10" s="4"/>
    </row>
    <row r="11" customFormat="false" ht="15" hidden="false" customHeight="false" outlineLevel="0" collapsed="false">
      <c r="A11" s="4" t="n">
        <v>10</v>
      </c>
      <c r="B11" s="4" t="s">
        <v>138</v>
      </c>
      <c r="C11" s="4" t="s">
        <v>139</v>
      </c>
      <c r="D11" s="4" t="s">
        <v>140</v>
      </c>
      <c r="E11" s="4"/>
      <c r="F11" s="4"/>
      <c r="G11" s="4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errorStyle="stop" operator="between" showDropDown="false" showErrorMessage="false" showInputMessage="false" sqref="F2:F11" type="list">
      <formula1>"Pass,Fail,Not tested"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22"/>
    <col collapsed="false" customWidth="true" hidden="false" outlineLevel="0" max="26" min="6" style="0" width="8.63"/>
  </cols>
  <sheetData>
    <row r="1" customFormat="false" ht="20.85" hidden="false" customHeight="true" outlineLevel="0" collapsed="false">
      <c r="A1" s="8" t="s">
        <v>141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9" t="s">
        <v>142</v>
      </c>
      <c r="B3" s="9" t="s">
        <v>34</v>
      </c>
      <c r="C3" s="4"/>
      <c r="D3" s="9" t="s">
        <v>142</v>
      </c>
      <c r="E3" s="9" t="s">
        <v>34</v>
      </c>
      <c r="F3" s="4"/>
      <c r="G3" s="4" t="s">
        <v>25</v>
      </c>
      <c r="H3" s="4" t="s">
        <v>143</v>
      </c>
    </row>
    <row r="4" customFormat="false" ht="15" hidden="false" customHeight="false" outlineLevel="0" collapsed="false">
      <c r="A4" s="4" t="s">
        <v>144</v>
      </c>
      <c r="B4" s="4" t="n">
        <f aca="false">COUNTA(Leads!$A$2:$A$2000)</f>
        <v>0</v>
      </c>
      <c r="C4" s="4"/>
      <c r="D4" s="4" t="s">
        <v>42</v>
      </c>
      <c r="E4" s="4" t="n">
        <f aca="false">COUNTIF(Leads!$Z$2:$Z$2000,"Disqualified")</f>
        <v>0</v>
      </c>
      <c r="F4" s="4"/>
      <c r="G4" s="4" t="s">
        <v>47</v>
      </c>
      <c r="H4" s="4" t="n">
        <f aca="false">B5</f>
        <v>0</v>
      </c>
    </row>
    <row r="5" customFormat="false" ht="15" hidden="false" customHeight="false" outlineLevel="0" collapsed="false">
      <c r="A5" s="4" t="s">
        <v>145</v>
      </c>
      <c r="B5" s="4" t="n">
        <f aca="false">COUNTIF(Leads!$Z$2:$Z$2000,"P1")</f>
        <v>0</v>
      </c>
      <c r="C5" s="4"/>
      <c r="D5" s="4" t="s">
        <v>146</v>
      </c>
      <c r="E5" s="10" t="n">
        <f aca="false">IFERROR(AVERAGE(Leads!$Y$2:$Y$2000),0)</f>
        <v>0</v>
      </c>
      <c r="F5" s="4"/>
      <c r="G5" s="4" t="s">
        <v>147</v>
      </c>
      <c r="H5" s="4" t="n">
        <f aca="false">B6</f>
        <v>0</v>
      </c>
    </row>
    <row r="6" customFormat="false" ht="15" hidden="false" customHeight="false" outlineLevel="0" collapsed="false">
      <c r="A6" s="4" t="s">
        <v>148</v>
      </c>
      <c r="B6" s="4" t="n">
        <f aca="false">COUNTIF(Leads!$Z$2:$Z$2000,"P2")</f>
        <v>0</v>
      </c>
      <c r="C6" s="4"/>
      <c r="D6" s="4" t="s">
        <v>149</v>
      </c>
      <c r="E6" s="4" t="n">
        <f aca="false">COUNTIF(Leads!$X$2:$X$2000,"Needs clarification")</f>
        <v>0</v>
      </c>
      <c r="F6" s="4"/>
      <c r="G6" s="4" t="s">
        <v>150</v>
      </c>
      <c r="H6" s="4" t="n">
        <f aca="false">B7</f>
        <v>0</v>
      </c>
    </row>
    <row r="7" customFormat="false" ht="28.35" hidden="false" customHeight="false" outlineLevel="0" collapsed="false">
      <c r="A7" s="4" t="s">
        <v>151</v>
      </c>
      <c r="B7" s="4" t="n">
        <f aca="false">COUNTIF(Leads!$Z$2:$Z$2000,"P3")</f>
        <v>0</v>
      </c>
      <c r="C7" s="4"/>
      <c r="D7" s="4" t="s">
        <v>152</v>
      </c>
      <c r="E7" s="4" t="n">
        <f aca="false">COUNTIF(Leads!$X$2:$X$2000,"Human requested")</f>
        <v>0</v>
      </c>
      <c r="F7" s="4"/>
      <c r="G7" s="4" t="s">
        <v>42</v>
      </c>
      <c r="H7" s="4" t="n">
        <f aca="false">E4</f>
        <v>0</v>
      </c>
    </row>
    <row r="8" customFormat="false" ht="15" hidden="false" customHeight="false" outlineLevel="0" collapsed="false">
      <c r="A8" s="4"/>
      <c r="B8" s="4"/>
      <c r="C8" s="4"/>
      <c r="D8" s="4" t="s">
        <v>153</v>
      </c>
      <c r="E8" s="4" t="n">
        <f aca="false">COUNTIFS(Leads!$AG$2:$AG$2000,"&lt;&gt;",Leads!$AG$2:$AG$2000,"&lt;&gt;Not booked")</f>
        <v>0</v>
      </c>
      <c r="F8" s="4"/>
      <c r="G8" s="4"/>
      <c r="H8" s="4"/>
    </row>
    <row r="9" customFormat="false" ht="15" hidden="false" customHeight="false" outlineLevel="0" collapsed="false">
      <c r="A9" s="4"/>
      <c r="B9" s="4"/>
      <c r="C9" s="4"/>
      <c r="D9" s="4" t="s">
        <v>154</v>
      </c>
      <c r="E9" s="4" t="n">
        <f aca="false">COUNTIF(Leads!$AD$2:$AD$2000,"?*")-COUNTIF(Leads!$AD$2:$AD$2000,"ERROR*")</f>
        <v>0</v>
      </c>
      <c r="F9" s="4"/>
      <c r="G9" s="4"/>
      <c r="H9" s="4"/>
    </row>
    <row r="10" customFormat="false" ht="15" hidden="false" customHeight="false" outlineLevel="0" collapsed="false">
      <c r="A10" s="4"/>
      <c r="B10" s="4"/>
      <c r="C10" s="4"/>
      <c r="D10" s="4" t="s">
        <v>155</v>
      </c>
      <c r="E10" s="4" t="n">
        <f aca="false">COUNTIF(Leads!$AD$2:$AD$2000,"ERROR*")+COUNTIF(Leads!$AC$2:$AC$2000,"ERROR*")</f>
        <v>0</v>
      </c>
      <c r="F10" s="4"/>
      <c r="G10" s="4"/>
      <c r="H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4" min="3" style="0" width="10"/>
    <col collapsed="false" customWidth="true" hidden="false" outlineLevel="0" max="6" min="5" style="0" width="20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1" t="s">
        <v>156</v>
      </c>
      <c r="B1" s="1" t="s">
        <v>157</v>
      </c>
      <c r="C1" s="1" t="s">
        <v>6</v>
      </c>
      <c r="D1" s="1" t="s">
        <v>158</v>
      </c>
      <c r="E1" s="1" t="s">
        <v>159</v>
      </c>
      <c r="F1" s="1" t="s">
        <v>160</v>
      </c>
      <c r="G1" s="1" t="s">
        <v>161</v>
      </c>
    </row>
    <row r="2" customFormat="false" ht="15" hidden="false" customHeight="false" outlineLevel="0" collapsed="false">
      <c r="A2" s="11" t="s">
        <v>162</v>
      </c>
      <c r="B2" s="12" t="s">
        <v>163</v>
      </c>
      <c r="C2" s="12" t="s">
        <v>164</v>
      </c>
      <c r="D2" s="11" t="n">
        <v>476</v>
      </c>
      <c r="E2" s="13" t="n">
        <v>1150000</v>
      </c>
      <c r="F2" s="13" t="n">
        <v>50000</v>
      </c>
      <c r="G2" s="11" t="s">
        <v>165</v>
      </c>
    </row>
    <row r="3" customFormat="false" ht="15" hidden="false" customHeight="false" outlineLevel="0" collapsed="false">
      <c r="A3" s="11" t="s">
        <v>166</v>
      </c>
      <c r="B3" s="12" t="s">
        <v>163</v>
      </c>
      <c r="C3" s="12" t="s">
        <v>164</v>
      </c>
      <c r="D3" s="11" t="n">
        <v>448</v>
      </c>
      <c r="E3" s="13" t="n">
        <v>1050000</v>
      </c>
      <c r="F3" s="13" t="n">
        <v>50000</v>
      </c>
      <c r="G3" s="11" t="s">
        <v>165</v>
      </c>
    </row>
    <row r="4" customFormat="false" ht="15" hidden="false" customHeight="false" outlineLevel="0" collapsed="false">
      <c r="A4" s="11" t="s">
        <v>167</v>
      </c>
      <c r="B4" s="12" t="s">
        <v>168</v>
      </c>
      <c r="C4" s="12" t="s">
        <v>164</v>
      </c>
      <c r="D4" s="11" t="n">
        <v>533.9</v>
      </c>
      <c r="E4" s="13" t="n">
        <v>1100000</v>
      </c>
      <c r="F4" s="13" t="n">
        <v>50000</v>
      </c>
      <c r="G4" s="11" t="s">
        <v>169</v>
      </c>
    </row>
    <row r="5" customFormat="false" ht="15" hidden="false" customHeight="false" outlineLevel="0" collapsed="false">
      <c r="A5" s="11" t="s">
        <v>170</v>
      </c>
      <c r="B5" s="12" t="s">
        <v>171</v>
      </c>
      <c r="C5" s="12" t="s">
        <v>164</v>
      </c>
      <c r="D5" s="11" t="n">
        <v>442</v>
      </c>
      <c r="E5" s="13" t="n">
        <v>930000</v>
      </c>
      <c r="F5" s="13" t="n">
        <v>15000</v>
      </c>
      <c r="G5" s="11" t="s">
        <v>169</v>
      </c>
    </row>
    <row r="6" customFormat="false" ht="15" hidden="false" customHeight="false" outlineLevel="0" collapsed="false">
      <c r="A6" s="11" t="s">
        <v>172</v>
      </c>
      <c r="B6" s="12" t="s">
        <v>173</v>
      </c>
      <c r="C6" s="12" t="s">
        <v>174</v>
      </c>
      <c r="D6" s="11" t="n">
        <v>698.5</v>
      </c>
      <c r="E6" s="13" t="n">
        <v>1300000</v>
      </c>
      <c r="F6" s="13" t="n">
        <v>50000</v>
      </c>
      <c r="G6" s="11" t="s">
        <v>169</v>
      </c>
    </row>
    <row r="7" customFormat="false" ht="15" hidden="false" customHeight="false" outlineLevel="0" collapsed="false">
      <c r="A7" s="11" t="s">
        <v>175</v>
      </c>
      <c r="B7" s="12" t="s">
        <v>176</v>
      </c>
      <c r="C7" s="12" t="s">
        <v>164</v>
      </c>
      <c r="D7" s="11" t="n">
        <v>1000</v>
      </c>
      <c r="E7" s="13" t="n">
        <v>1850000</v>
      </c>
      <c r="F7" s="13" t="n">
        <v>50000</v>
      </c>
      <c r="G7" s="11" t="s">
        <v>177</v>
      </c>
    </row>
    <row r="8" customFormat="false" ht="15" hidden="false" customHeight="false" outlineLevel="0" collapsed="false">
      <c r="A8" s="11" t="s">
        <v>178</v>
      </c>
      <c r="B8" s="12" t="s">
        <v>179</v>
      </c>
      <c r="C8" s="12" t="s">
        <v>164</v>
      </c>
      <c r="D8" s="11" t="n">
        <v>630</v>
      </c>
      <c r="E8" s="13" t="n">
        <v>2220000</v>
      </c>
      <c r="F8" s="13" t="n">
        <v>50000</v>
      </c>
      <c r="G8" s="11" t="s">
        <v>177</v>
      </c>
    </row>
    <row r="9" customFormat="false" ht="15" hidden="false" customHeight="false" outlineLevel="0" collapsed="false">
      <c r="A9" s="11" t="s">
        <v>180</v>
      </c>
      <c r="B9" s="12" t="s">
        <v>181</v>
      </c>
      <c r="C9" s="12" t="s">
        <v>174</v>
      </c>
      <c r="D9" s="11" t="n">
        <v>994.5</v>
      </c>
      <c r="E9" s="13" t="n">
        <v>3100000</v>
      </c>
      <c r="F9" s="13" t="n">
        <v>150000</v>
      </c>
      <c r="G9" s="11" t="s">
        <v>182</v>
      </c>
    </row>
    <row r="10" customFormat="false" ht="15" hidden="false" customHeight="false" outlineLevel="0" collapsed="false">
      <c r="A10" s="11" t="s">
        <v>183</v>
      </c>
      <c r="B10" s="12" t="s">
        <v>184</v>
      </c>
      <c r="C10" s="12" t="s">
        <v>164</v>
      </c>
      <c r="D10" s="11" t="n">
        <v>834.5</v>
      </c>
      <c r="E10" s="13" t="n">
        <v>5100000</v>
      </c>
      <c r="F10" s="13" t="n">
        <v>150000</v>
      </c>
      <c r="G10" s="11" t="s">
        <v>182</v>
      </c>
    </row>
    <row r="11" customFormat="false" ht="15" hidden="false" customHeight="false" outlineLevel="0" collapsed="false">
      <c r="A11" s="11" t="s">
        <v>185</v>
      </c>
      <c r="B11" s="12" t="s">
        <v>186</v>
      </c>
      <c r="C11" s="12" t="s">
        <v>164</v>
      </c>
      <c r="D11" s="11" t="n">
        <v>141.07</v>
      </c>
      <c r="E11" s="13" t="n">
        <v>304000</v>
      </c>
      <c r="F11" s="13" t="n">
        <v>15000</v>
      </c>
      <c r="G11" s="11" t="s">
        <v>187</v>
      </c>
    </row>
    <row r="12" customFormat="false" ht="15" hidden="false" customHeight="false" outlineLevel="0" collapsed="false">
      <c r="A12" s="11" t="s">
        <v>188</v>
      </c>
      <c r="B12" s="12" t="s">
        <v>189</v>
      </c>
      <c r="C12" s="12" t="s">
        <v>164</v>
      </c>
      <c r="D12" s="11" t="n">
        <v>342.94</v>
      </c>
      <c r="E12" s="13" t="n">
        <v>1250000</v>
      </c>
      <c r="F12" s="13" t="n">
        <v>50000</v>
      </c>
      <c r="G12" s="11" t="s">
        <v>169</v>
      </c>
    </row>
    <row r="14" customFormat="false" ht="15" hidden="false" customHeight="false" outlineLevel="0" collapsed="false">
      <c r="A14" s="6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2026-09-26T11:45:40Z</dcterms:created>
  <dc:creator>openpyxl</dc:creator>
  <dc:description/>
  <dc:language>en-US</dc:language>
  <cp:lastModifiedBy/>
  <dcterms:modified xsi:type="dcterms:W3CDTF">2026-09-26T11:45:42Z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